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25" tabRatio="769" firstSheet="0" activeTab="6" autoFilterDateGrouping="1"/>
  </bookViews>
  <sheets>
    <sheet xmlns:r="http://schemas.openxmlformats.org/officeDocument/2006/relationships" name="Instructions" sheetId="1" state="visible" r:id="rId1"/>
    <sheet xmlns:r="http://schemas.openxmlformats.org/officeDocument/2006/relationships" name="Team" sheetId="2" state="visible" r:id="rId2"/>
    <sheet xmlns:r="http://schemas.openxmlformats.org/officeDocument/2006/relationships" name="Requirements" sheetId="3" state="visible" r:id="rId3"/>
    <sheet xmlns:r="http://schemas.openxmlformats.org/officeDocument/2006/relationships" name="Clarification Q&amp;A" sheetId="4" state="visible" r:id="rId4"/>
    <sheet xmlns:r="http://schemas.openxmlformats.org/officeDocument/2006/relationships" name="Use Cases" sheetId="5" state="visible" r:id="rId5"/>
    <sheet xmlns:r="http://schemas.openxmlformats.org/officeDocument/2006/relationships" name="Artifact Tracker" sheetId="6" state="visible" r:id="rId6"/>
    <sheet xmlns:r="http://schemas.openxmlformats.org/officeDocument/2006/relationships" name="Consistency Check" sheetId="7" state="visible" r:id="rId7"/>
    <sheet xmlns:r="http://schemas.openxmlformats.org/officeDocument/2006/relationships" name="AI Prompt Log" sheetId="8" state="visible" r:id="rId8"/>
    <sheet xmlns:r="http://schemas.openxmlformats.org/officeDocument/2006/relationships" name="Commit Log" sheetId="9" state="visible" r:id="rId9"/>
    <sheet xmlns:r="http://schemas.openxmlformats.org/officeDocument/2006/relationships" name="Progress Log" sheetId="10" state="visible" r:id="rId10"/>
    <sheet xmlns:r="http://schemas.openxmlformats.org/officeDocument/2006/relationships" name="Marking" sheetId="11" state="visible" r:id="rId11"/>
    <sheet xmlns:r="http://schemas.openxmlformats.org/officeDocument/2006/relationships" name="Summary" sheetId="12" state="visible" r:id="rId12"/>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0.0;0.0"/>
  </numFmts>
  <fonts count="11">
    <font>
      <name val="Calibri"/>
      <charset val="1"/>
      <family val="2"/>
      <color theme="1"/>
      <sz val="11"/>
    </font>
    <font>
      <name val="Arial"/>
      <charset val="1"/>
      <b val="1"/>
      <color rgb="FF1F3A5F"/>
      <sz val="15"/>
    </font>
    <font>
      <name val="Arial"/>
      <charset val="1"/>
      <i val="1"/>
      <color rgb="FF595959"/>
      <sz val="10"/>
    </font>
    <font>
      <name val="Arial"/>
      <charset val="1"/>
      <b val="1"/>
      <color rgb="FF1F3A5F"/>
      <sz val="12"/>
    </font>
    <font>
      <name val="Arial"/>
      <charset val="1"/>
      <color rgb="FF000000"/>
      <sz val="10"/>
    </font>
    <font>
      <name val="Arial"/>
      <charset val="1"/>
      <color rgb="FF0000FF"/>
      <sz val="10"/>
    </font>
    <font>
      <name val="Arial"/>
      <charset val="1"/>
      <b val="1"/>
      <color rgb="FFFFFFFF"/>
      <sz val="10"/>
    </font>
    <font>
      <name val="Arial"/>
      <charset val="1"/>
      <b val="1"/>
      <color rgb="FF000000"/>
      <sz val="10"/>
    </font>
    <font>
      <name val="Arial"/>
      <charset val="1"/>
      <i val="1"/>
      <color rgb="FF595959"/>
      <sz val="9"/>
    </font>
    <font>
      <name val="Arial"/>
      <family val="2"/>
      <color rgb="FF0000FF"/>
      <sz val="10"/>
    </font>
    <font>
      <name val="Calibri"/>
      <charset val="1"/>
      <family val="2"/>
      <color theme="10"/>
      <sz val="11"/>
      <u val="single"/>
    </font>
  </fonts>
  <fills count="8">
    <fill>
      <patternFill/>
    </fill>
    <fill>
      <patternFill patternType="gray125"/>
    </fill>
    <fill>
      <patternFill patternType="solid">
        <fgColor rgb="FFFFF4CC"/>
        <bgColor rgb="FFFDE2E2"/>
      </patternFill>
    </fill>
    <fill>
      <patternFill patternType="solid">
        <fgColor rgb="FFDDF0DF"/>
        <bgColor rgb="FFC6EFCE"/>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6">
    <border>
      <left/>
      <right/>
      <top/>
      <bottom/>
      <diagonal/>
    </border>
    <border>
      <left style="thin">
        <color rgb="FFB7C3D3"/>
      </left>
      <right style="thin">
        <color rgb="FFB7C3D3"/>
      </right>
      <top style="thin">
        <color rgb="FFB7C3D3"/>
      </top>
      <bottom style="thin">
        <color rgb="FFB7C3D3"/>
      </bottom>
      <diagonal/>
    </border>
    <border>
      <left/>
      <right/>
      <top style="thin">
        <color rgb="FFB7C3D3"/>
      </top>
      <bottom/>
      <diagonal/>
    </border>
    <border>
      <left/>
      <right style="thin">
        <color rgb="FFB7C3D3"/>
      </right>
      <top style="thin">
        <color rgb="FFB7C3D3"/>
      </top>
      <bottom/>
      <diagonal/>
    </border>
    <border>
      <left/>
      <right style="thin">
        <color rgb="FFB7C3D3"/>
      </right>
      <top style="thin">
        <color rgb="FFB7C3D3"/>
      </top>
      <bottom style="thin">
        <color rgb="FFB7C3D3"/>
      </bottom>
      <diagonal/>
    </border>
    <border>
      <left/>
      <right/>
      <top style="thin">
        <color rgb="FFB7C3D3"/>
      </top>
      <bottom style="thin">
        <color rgb="FFB7C3D3"/>
      </bottom>
      <diagonal/>
    </border>
  </borders>
  <cellStyleXfs count="2">
    <xf numFmtId="0" fontId="0" fillId="0" borderId="0"/>
    <xf numFmtId="0" fontId="1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horizontal="center" vertical="center" wrapText="1"/>
    </xf>
    <xf numFmtId="0" fontId="7" fillId="0" borderId="1" applyAlignment="1" pivotButton="0" quotePrefix="0" xfId="0">
      <alignment vertical="top" wrapText="1"/>
    </xf>
    <xf numFmtId="0" fontId="7" fillId="5" borderId="1" applyAlignment="1" pivotButton="0" quotePrefix="0" xfId="0">
      <alignment vertical="top" wrapText="1"/>
    </xf>
    <xf numFmtId="0" fontId="4" fillId="0" borderId="1" applyAlignment="1" pivotButton="0" quotePrefix="0" xfId="0">
      <alignment horizontal="center" vertical="center" wrapText="1"/>
    </xf>
    <xf numFmtId="0" fontId="6" fillId="6" borderId="1" applyAlignment="1" pivotButton="0" quotePrefix="0" xfId="0">
      <alignment horizontal="center" vertical="center" wrapText="1"/>
    </xf>
    <xf numFmtId="9" fontId="5" fillId="2" borderId="1" applyAlignment="1" pivotButton="0" quotePrefix="0" xfId="0">
      <alignment horizontal="center" vertical="center" wrapText="1"/>
    </xf>
    <xf numFmtId="9" fontId="7" fillId="5" borderId="1" applyAlignment="1" pivotButton="0" quotePrefix="0" xfId="0">
      <alignment horizontal="center" vertical="center" wrapText="1"/>
    </xf>
    <xf numFmtId="0" fontId="8" fillId="0" borderId="0" pivotButton="0" quotePrefix="0" xfId="0"/>
    <xf numFmtId="0" fontId="6" fillId="7" borderId="1" applyAlignment="1" pivotButton="0" quotePrefix="0" xfId="0">
      <alignment horizontal="center" vertical="center" wrapText="1"/>
    </xf>
    <xf numFmtId="0" fontId="7" fillId="5" borderId="1" applyAlignment="1" pivotButton="0" quotePrefix="0" xfId="0">
      <alignment horizontal="center" vertical="center" wrapText="1"/>
    </xf>
    <xf numFmtId="1"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1" applyAlignment="1" pivotButton="0" quotePrefix="0" xfId="0">
      <alignment vertical="top" wrapText="1"/>
    </xf>
    <xf numFmtId="164" fontId="5" fillId="2" borderId="1" applyAlignment="1" pivotButton="0" quotePrefix="0" xfId="0">
      <alignment horizontal="center" vertical="center" wrapText="1"/>
    </xf>
    <xf numFmtId="164" fontId="5" fillId="3"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5" borderId="1" applyAlignment="1" pivotButton="0" quotePrefix="0" xfId="0">
      <alignment vertical="top" wrapText="1"/>
    </xf>
    <xf numFmtId="164" fontId="7" fillId="5" borderId="1" applyAlignment="1" pivotButton="0" quotePrefix="0" xfId="0">
      <alignment horizontal="center" vertical="center" wrapText="1"/>
    </xf>
    <xf numFmtId="165" fontId="7" fillId="5" borderId="1" applyAlignment="1" pivotButton="0" quotePrefix="0" xfId="0">
      <alignment horizontal="center" vertical="center" wrapText="1"/>
    </xf>
    <xf numFmtId="9" fontId="5" fillId="0" borderId="1" applyAlignment="1" pivotButton="0" quotePrefix="0" xfId="0">
      <alignment horizontal="center" vertical="center" wrapText="1"/>
    </xf>
    <xf numFmtId="164" fontId="4" fillId="0" borderId="1" applyAlignment="1" pivotButton="0" quotePrefix="0" xfId="0">
      <alignment horizontal="center" vertical="center" wrapText="1"/>
    </xf>
    <xf numFmtId="2" fontId="5" fillId="3" borderId="1" applyAlignment="1" pivotButton="0" quotePrefix="0" xfId="0">
      <alignment horizontal="center" vertical="center" wrapText="1"/>
    </xf>
    <xf numFmtId="2" fontId="7" fillId="0" borderId="1" applyAlignment="1" pivotButton="0" quotePrefix="0" xfId="0">
      <alignment horizontal="center" vertical="center" wrapText="1"/>
    </xf>
    <xf numFmtId="2" fontId="4" fillId="0" borderId="1" applyAlignment="1" pivotButton="0" quotePrefix="0" xfId="0">
      <alignment horizontal="center" vertical="center" wrapText="1"/>
    </xf>
    <xf numFmtId="0" fontId="5" fillId="2" borderId="1" applyAlignment="1" pivotButton="0" quotePrefix="0" xfId="0">
      <alignment vertical="top" wrapText="1"/>
    </xf>
    <xf numFmtId="0" fontId="5" fillId="2" borderId="1" applyAlignment="1" pivotButton="0" quotePrefix="0" xfId="0">
      <alignment vertical="top" wrapText="1"/>
    </xf>
    <xf numFmtId="0" fontId="9" fillId="2" borderId="1"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horizontal="center" vertical="center" wrapText="1"/>
    </xf>
    <xf numFmtId="0" fontId="5" fillId="2" borderId="1" applyAlignment="1" pivotButton="0" quotePrefix="0" xfId="0">
      <alignment vertical="top" wrapText="1"/>
    </xf>
    <xf numFmtId="0" fontId="5" fillId="3" borderId="1" applyAlignment="1" pivotButton="0" quotePrefix="0" xfId="0">
      <alignment vertical="top" wrapText="1"/>
    </xf>
    <xf numFmtId="0" fontId="5" fillId="2" borderId="1"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10" fillId="2" borderId="1" applyAlignment="1" pivotButton="0" quotePrefix="0" xfId="1">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9" fillId="2"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2">
    <cellStyle name="Normal" xfId="0" builtinId="0"/>
    <cellStyle name="Hyperlink" xfId="1" builtinId="8"/>
  </cellStyles>
  <dxfs count="10">
    <dxf>
      <font>
        <name val="Arial"/>
        <charset val="1"/>
        <b val="1"/>
        <color rgb="FF9C0006"/>
      </font>
      <fill>
        <patternFill>
          <bgColor rgb="FFFDE2E2"/>
        </patternFill>
      </fill>
    </dxf>
    <dxf>
      <font>
        <name val="Arial"/>
        <charset val="1"/>
        <b val="1"/>
        <color rgb="FF9C0006"/>
      </font>
      <fill>
        <patternFill>
          <bgColor rgb="FFFDE2E2"/>
        </patternFill>
      </fill>
    </dxf>
    <dxf>
      <font>
        <name val="Arial"/>
        <charset val="1"/>
        <b val="1"/>
        <color rgb="FF9C0006"/>
      </font>
      <fill>
        <patternFill>
          <bgColor rgb="FFFFC7CE"/>
        </patternFill>
      </fill>
    </dxf>
    <dxf>
      <font>
        <name val="Arial"/>
        <charset val="1"/>
        <b val="1"/>
        <color rgb="FF9C5700"/>
      </font>
      <fill>
        <patternFill>
          <bgColor rgb="FFFFEB9C"/>
        </patternFill>
      </fill>
    </dxf>
    <dxf>
      <font>
        <name val="Arial"/>
        <charset val="1"/>
        <b val="1"/>
        <color rgb="FF006100"/>
      </font>
      <fill>
        <patternFill>
          <bgColor rgb="FFC6EFCE"/>
        </patternFill>
      </fill>
    </dxf>
    <dxf>
      <font>
        <name val="Arial"/>
        <charset val="1"/>
        <b val="1"/>
        <color rgb="FF9C0006"/>
      </font>
      <fill>
        <patternFill>
          <bgColor rgb="FFFDE2E2"/>
        </patternFill>
      </fill>
    </dxf>
    <dxf>
      <font>
        <name val="Arial"/>
        <charset val="1"/>
        <b val="1"/>
        <color rgb="FF9C0006"/>
      </font>
      <fill>
        <patternFill>
          <bgColor rgb="FFFDE2E2"/>
        </patternFill>
      </fill>
    </dxf>
    <dxf>
      <font>
        <name val="Arial"/>
        <charset val="1"/>
        <b val="1"/>
        <color rgb="FF9C0006"/>
      </font>
      <fill>
        <patternFill>
          <bgColor rgb="FFFDE2E2"/>
        </patternFill>
      </fill>
    </dxf>
    <dxf>
      <font>
        <name val="Arial"/>
        <charset val="1"/>
        <b val="1"/>
        <color rgb="FF9C0006"/>
      </font>
      <fill>
        <patternFill>
          <bgColor rgb="FFFDE2E2"/>
        </patternFill>
      </fill>
    </dxf>
    <dxf>
      <font>
        <name val="Arial"/>
        <charset val="1"/>
        <b val="1"/>
        <color rgb="FF9C0006"/>
      </font>
      <fill>
        <patternFill>
          <bgColor rgb="FFFD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FDE2E2"/>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seuquay56/SmartTicketingSystem_TVM" TargetMode="External" Id="rId1"/></Relationships>
</file>

<file path=xl/worksheets/sheet1.xml><?xml version="1.0" encoding="utf-8"?>
<worksheet xmlns="http://schemas.openxmlformats.org/spreadsheetml/2006/main">
  <sheetPr>
    <outlinePr summaryBelow="1" summaryRight="1"/>
    <pageSetUpPr fitToPage="1"/>
  </sheetPr>
  <dimension ref="A1:D30"/>
  <sheetViews>
    <sheetView showGridLines="0" topLeftCell="A4" zoomScaleNormal="100" workbookViewId="0">
      <selection activeCell="E11" sqref="E11"/>
    </sheetView>
  </sheetViews>
  <sheetFormatPr baseColWidth="8" defaultColWidth="8.7109375" defaultRowHeight="15"/>
  <cols>
    <col width="30" customWidth="1" min="1" max="1"/>
    <col width="40" customWidth="1" min="2" max="2"/>
    <col width="52" customWidth="1" min="3" max="3"/>
    <col width="28" customWidth="1" min="4" max="4"/>
  </cols>
  <sheetData>
    <row r="1" ht="19.5" customHeight="1">
      <c r="A1" s="1" t="inlineStr">
        <is>
          <t>SE Lab Assignment 1 Team Workbook</t>
        </is>
      </c>
    </row>
    <row r="2">
      <c r="A2" s="2" t="inlineStr">
        <is>
          <t>Smart Ticketing System (TVM)  |  Sem 1_2627  |  One workbook per group, kept in your shared folder and in your GitHub repository</t>
        </is>
      </c>
    </row>
    <row r="4" ht="15.75" customHeight="1">
      <c r="A4" s="3" t="inlineStr">
        <is>
          <t>Purpose</t>
        </is>
      </c>
    </row>
    <row r="5" ht="63.75" customHeight="1">
      <c r="A5" s="42" t="inlineStr">
        <is>
          <t>This workbook is your group's working record for Lab Group Assignment 1. It contains the Clarification Q&amp;A and the requirements (two deliverables you hand in as Excel or Word), plus trackers that show your process: who built what, the diagrams and their status, your Copilot prompts, your commits and your weekly progress. The lecturer reads it during the labs and replies in the green cells. Student self-marking and lecturer marking are on the Marking sheet. It supports, and does not replace, your official submission (the .docx report, readme.txt and the % contribution).</t>
        </is>
      </c>
    </row>
    <row r="7" ht="15.75" customHeight="1">
      <c r="A7" s="3" t="inlineStr">
        <is>
          <t>How to use it</t>
        </is>
      </c>
    </row>
    <row r="8" ht="31.5" customHeight="1">
      <c r="A8" s="42" t="inlineStr">
        <is>
          <t>1. Fill in the Team sheet first (3 to 5 students, % contribution totalling 100%).</t>
        </is>
      </c>
    </row>
    <row r="9" ht="31.5" customHeight="1">
      <c r="A9" s="42" t="inlineStr">
        <is>
          <t>2. Do the Clarification Q&amp;A before you write the requirements. Every assumed answer should lead to a requirement ID.</t>
        </is>
      </c>
    </row>
    <row r="10" ht="31.5" customHeight="1">
      <c r="A10" s="42" t="inlineStr">
        <is>
          <t>3. Update the Artifact Tracker, Commit Log, AI Prompt Log and Progress Log every lab week. These show the process mark evidence.</t>
        </is>
      </c>
    </row>
    <row r="11" ht="31.5" customHeight="1">
      <c r="A11" s="42" t="inlineStr">
        <is>
          <t>4. Before submission, use the Consistency Check sheet, then self-mark on the Marking sheet. The lecturer marks in the green column.</t>
        </is>
      </c>
    </row>
    <row r="13" ht="15.75" customHeight="1">
      <c r="A13" s="3" t="inlineStr">
        <is>
          <t>Colour legend</t>
        </is>
      </c>
    </row>
    <row r="14">
      <c r="A14" s="43" t="inlineStr">
        <is>
          <t>Student input</t>
        </is>
      </c>
      <c r="B14" s="46" t="inlineStr">
        <is>
          <t>Yellow fill, blue text</t>
        </is>
      </c>
    </row>
    <row r="15">
      <c r="A15" s="47" t="inlineStr">
        <is>
          <t>Lecturer input</t>
        </is>
      </c>
      <c r="B15" s="46" t="inlineStr">
        <is>
          <t>Green fill, blue text</t>
        </is>
      </c>
    </row>
    <row r="16">
      <c r="A16" s="46" t="inlineStr">
        <is>
          <t>Calculated / fixed</t>
        </is>
      </c>
      <c r="B16" s="46" t="inlineStr">
        <is>
          <t>Black text, no fill</t>
        </is>
      </c>
    </row>
    <row r="18" ht="15.75" customHeight="1">
      <c r="A18" s="3" t="inlineStr">
        <is>
          <t>Sheets in this workbook</t>
        </is>
      </c>
    </row>
    <row r="19">
      <c r="A19" s="7" t="inlineStr">
        <is>
          <t>Sheet</t>
        </is>
      </c>
      <c r="B19" s="7" t="inlineStr">
        <is>
          <t>What it is for</t>
        </is>
      </c>
      <c r="C19" s="7" t="inlineStr">
        <is>
          <t>Report section it feeds</t>
        </is>
      </c>
      <c r="D19" s="7" t="inlineStr">
        <is>
          <t>When to fill in</t>
        </is>
      </c>
    </row>
    <row r="20" ht="31.5" customHeight="1">
      <c r="A20" s="8" t="inlineStr">
        <is>
          <t>Team</t>
        </is>
      </c>
      <c r="B20" s="46" t="inlineStr">
        <is>
          <t>Members, roles, % contribution, commit counts</t>
        </is>
      </c>
      <c r="C20" s="46" t="inlineStr">
        <is>
          <t>1.3, 7</t>
        </is>
      </c>
      <c r="D20" s="46" t="inlineStr">
        <is>
          <t>Week 1</t>
        </is>
      </c>
    </row>
    <row r="21" ht="31.5" customHeight="1">
      <c r="A21" s="8" t="inlineStr">
        <is>
          <t>Clarification Q&amp;A</t>
        </is>
      </c>
      <c r="B21" s="46" t="inlineStr">
        <is>
          <t>Ambiguities, questions and assumed answers (Task 1, 5%)</t>
        </is>
      </c>
      <c r="C21" s="46" t="inlineStr">
        <is>
          <t>2.1</t>
        </is>
      </c>
      <c r="D21" s="46" t="inlineStr">
        <is>
          <t>Before requirements</t>
        </is>
      </c>
    </row>
    <row r="22" ht="31.5" customHeight="1">
      <c r="A22" s="8" t="inlineStr">
        <is>
          <t>Requirements</t>
        </is>
      </c>
      <c r="B22" s="46" t="inlineStr">
        <is>
          <t>Functional, non-functional and domain requirements with measurable metrics (Task 2, 15%)</t>
        </is>
      </c>
      <c r="C22" s="46" t="inlineStr">
        <is>
          <t>2.2</t>
        </is>
      </c>
      <c r="D22" s="46" t="inlineStr">
        <is>
          <t>Phase 1</t>
        </is>
      </c>
    </row>
    <row r="23" ht="31.5" customHeight="1">
      <c r="A23" s="8" t="inlineStr">
        <is>
          <t>Use Cases</t>
        </is>
      </c>
      <c r="B23" s="46" t="inlineStr">
        <is>
          <t>Use case register and description status (Task 3)</t>
        </is>
      </c>
      <c r="C23" s="46" t="inlineStr">
        <is>
          <t>3.1</t>
        </is>
      </c>
      <c r="D23" s="46" t="inlineStr">
        <is>
          <t>Phase 2</t>
        </is>
      </c>
    </row>
    <row r="24" ht="31.5" customHeight="1">
      <c r="A24" s="8" t="inlineStr">
        <is>
          <t>Artifact Tracker</t>
        </is>
      </c>
      <c r="B24" s="46" t="inlineStr">
        <is>
          <t>Every deliverable: owner, tool, link, status, % done</t>
        </is>
      </c>
      <c r="C24" s="46" t="inlineStr">
        <is>
          <t>All</t>
        </is>
      </c>
      <c r="D24" s="46" t="inlineStr">
        <is>
          <t>Throughout</t>
        </is>
      </c>
    </row>
    <row r="25" ht="31.5" customHeight="1">
      <c r="A25" s="8" t="inlineStr">
        <is>
          <t>Consistency Check</t>
        </is>
      </c>
      <c r="B25" s="46" t="inlineStr">
        <is>
          <t>Alignment of the diagrams and the code</t>
        </is>
      </c>
      <c r="C25" s="46" t="inlineStr">
        <is>
          <t>3.4</t>
        </is>
      </c>
      <c r="D25" s="46" t="inlineStr">
        <is>
          <t>Before submitting</t>
        </is>
      </c>
    </row>
    <row r="26" ht="31.5" customHeight="1">
      <c r="A26" s="8" t="inlineStr">
        <is>
          <t>AI Prompt Log</t>
        </is>
      </c>
      <c r="B26" s="46" t="inlineStr">
        <is>
          <t>Copilot prompts, how the AI helped, how you validated (Task 9)</t>
        </is>
      </c>
      <c r="C26" s="46" t="inlineStr">
        <is>
          <t>5.2.2</t>
        </is>
      </c>
      <c r="D26" s="46" t="inlineStr">
        <is>
          <t>Throughout</t>
        </is>
      </c>
    </row>
    <row r="27" ht="31.5" customHeight="1">
      <c r="A27" s="8" t="inlineStr">
        <is>
          <t>Commit Log</t>
        </is>
      </c>
      <c r="B27" s="46" t="inlineStr">
        <is>
          <t>Commits and pull requests per member per week</t>
        </is>
      </c>
      <c r="C27" s="46" t="inlineStr">
        <is>
          <t>5.2.1</t>
        </is>
      </c>
      <c r="D27" s="46" t="inlineStr">
        <is>
          <t>Weekly</t>
        </is>
      </c>
    </row>
    <row r="28" ht="31.5" customHeight="1">
      <c r="A28" s="8" t="inlineStr">
        <is>
          <t>Progress Log</t>
        </is>
      </c>
      <c r="B28" s="46" t="inlineStr">
        <is>
          <t>Weekly plan, actual work, evidence and lecturer feedback</t>
        </is>
      </c>
      <c r="C28" s="46" t="inlineStr">
        <is>
          <t>Process mark</t>
        </is>
      </c>
      <c r="D28" s="46" t="inlineStr">
        <is>
          <t>Weekly</t>
        </is>
      </c>
    </row>
    <row r="29" ht="31.5" customHeight="1">
      <c r="A29" s="8" t="inlineStr">
        <is>
          <t>Marking</t>
        </is>
      </c>
      <c r="B29" s="46" t="inlineStr">
        <is>
          <t>Self-mark and lecturer mark for the 10 tasks (100%)</t>
        </is>
      </c>
      <c r="C29" s="46" t="inlineStr">
        <is>
          <t>–</t>
        </is>
      </c>
      <c r="D29" s="46" t="inlineStr">
        <is>
          <t>End</t>
        </is>
      </c>
    </row>
    <row r="30" ht="31.5" customHeight="1">
      <c r="A30" s="8" t="inlineStr">
        <is>
          <t>Summary</t>
        </is>
      </c>
      <c r="B30" s="46" t="inlineStr">
        <is>
          <t>Group result, QT2 points and individual marks</t>
        </is>
      </c>
      <c r="C30" s="46" t="inlineStr">
        <is>
          <t>–</t>
        </is>
      </c>
      <c r="D30" s="46" t="inlineStr">
        <is>
          <t>End</t>
        </is>
      </c>
    </row>
  </sheetData>
  <mergeCells count="5">
    <mergeCell ref="A5:D5"/>
    <mergeCell ref="A9:D9"/>
    <mergeCell ref="A8:D8"/>
    <mergeCell ref="A11:D11"/>
    <mergeCell ref="A10:D10"/>
  </mergeCells>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fitToPage="1"/>
  </sheetPr>
  <dimension ref="A1:G19"/>
  <sheetViews>
    <sheetView showGridLines="0" zoomScaleNormal="100" workbookViewId="0">
      <selection activeCell="B5" sqref="B5:D5"/>
    </sheetView>
  </sheetViews>
  <sheetFormatPr baseColWidth="8" defaultColWidth="8.7109375" defaultRowHeight="15"/>
  <cols>
    <col width="12" customWidth="1" min="1" max="1"/>
    <col width="26" customWidth="1" min="2" max="2"/>
    <col width="16" customWidth="1" min="3" max="3"/>
    <col width="30" customWidth="1" min="4" max="4"/>
    <col width="16" customWidth="1" min="5" max="5"/>
    <col width="14" customWidth="1" min="6" max="6"/>
    <col width="26" customWidth="1" min="7" max="7"/>
  </cols>
  <sheetData>
    <row r="1" ht="19.5" customHeight="1">
      <c r="A1" s="1" t="inlineStr">
        <is>
          <t>Team and Contribution</t>
        </is>
      </c>
    </row>
    <row r="2">
      <c r="A2" s="2" t="inlineStr">
        <is>
          <t>Group of 3 to 5 students. The % contribution of each member must total 100% and match your readme.txt.</t>
        </is>
      </c>
    </row>
    <row r="4" ht="25.5" customHeight="1">
      <c r="A4" s="9" t="inlineStr">
        <is>
          <t>Group name</t>
        </is>
      </c>
      <c r="B4" s="43" t="n">
        <v>14</v>
      </c>
      <c r="C4" s="49" t="n"/>
    </row>
    <row r="5">
      <c r="A5" s="9" t="inlineStr">
        <is>
          <t>GitHub repo</t>
        </is>
      </c>
      <c r="B5" s="44" t="inlineStr">
        <is>
          <t>https://github.com/seuquay56/SmartTicketingSystem_TVM</t>
        </is>
      </c>
      <c r="C5" s="50" t="n"/>
      <c r="D5" s="49" t="n"/>
    </row>
    <row r="6">
      <c r="A6" s="9" t="inlineStr">
        <is>
          <t>Group size</t>
        </is>
      </c>
      <c r="B6" s="45" t="n">
        <v>3</v>
      </c>
    </row>
    <row r="7">
      <c r="A7" s="9" t="inlineStr">
        <is>
          <t>Size check</t>
        </is>
      </c>
      <c r="B7" s="45">
        <f>IF(AND(B6&gt;=3,B6&lt;=5),"OK","Group must have 3 to 5 students")</f>
        <v/>
      </c>
      <c r="C7" s="50" t="n"/>
      <c r="D7" s="49" t="n"/>
    </row>
    <row r="9" ht="15.75" customHeight="1">
      <c r="A9" s="3" t="inlineStr">
        <is>
          <t>Members</t>
        </is>
      </c>
    </row>
    <row r="10" ht="39.75" customHeight="1">
      <c r="A10" s="7" t="inlineStr">
        <is>
          <t>Member</t>
        </is>
      </c>
      <c r="B10" s="11" t="inlineStr">
        <is>
          <t>Name</t>
        </is>
      </c>
      <c r="C10" s="11" t="inlineStr">
        <is>
          <t>Student ID</t>
        </is>
      </c>
      <c r="D10" s="11" t="inlineStr">
        <is>
          <t>Role / main responsibility</t>
        </is>
      </c>
      <c r="E10" s="11" t="inlineStr">
        <is>
          <t>% contribution</t>
        </is>
      </c>
      <c r="F10" s="7" t="inlineStr">
        <is>
          <t>Commits (from Commit Log)</t>
        </is>
      </c>
      <c r="G10" s="7" t="inlineStr">
        <is>
          <t>Check</t>
        </is>
      </c>
    </row>
    <row r="11">
      <c r="A11" s="9" t="inlineStr">
        <is>
          <t>Member 1</t>
        </is>
      </c>
      <c r="B11" s="43" t="inlineStr">
        <is>
          <t>On Gia Khiem</t>
        </is>
      </c>
      <c r="C11" s="43" t="inlineStr">
        <is>
          <t>524H0057</t>
        </is>
      </c>
      <c r="D11" s="43" t="inlineStr">
        <is>
          <t>Requirements analysis</t>
        </is>
      </c>
      <c r="E11" s="12" t="n">
        <v>0.3</v>
      </c>
      <c r="F11" s="45">
        <f>IF(C11="","",SUMIF('Commit Log'!$C$5:$C$64,C11,'Commit Log'!$E$5:$E$64))</f>
        <v/>
      </c>
      <c r="G11" s="45">
        <f>IF(C11="","",IF(AND(ISNUMBER(F11),F11&gt;0),"OK","No commits yet"))</f>
        <v/>
      </c>
    </row>
    <row r="12" ht="25.5" customHeight="1">
      <c r="A12" s="9" t="inlineStr">
        <is>
          <t>Member 2</t>
        </is>
      </c>
      <c r="B12" s="43" t="inlineStr">
        <is>
          <t>Vo Nguyen Phuc Thinh</t>
        </is>
      </c>
      <c r="C12" s="43" t="inlineStr">
        <is>
          <t>524H0069</t>
        </is>
      </c>
      <c r="D12" s="36" t="inlineStr">
        <is>
          <t>Systems &amp; UI/UX Design Engineer</t>
        </is>
      </c>
      <c r="E12" s="12" t="n">
        <v>0.4</v>
      </c>
      <c r="F12" s="45">
        <f>IF(C12="","",SUMIF('Commit Log'!$C$5:$C$64,C12,'Commit Log'!$E$5:$E$64))</f>
        <v/>
      </c>
      <c r="G12" s="45">
        <f>IF(C12="","",IF(AND(ISNUMBER(F12),F12&gt;0),"OK","No commits yet"))</f>
        <v/>
      </c>
    </row>
    <row r="13">
      <c r="A13" s="9" t="inlineStr">
        <is>
          <t>Member 3</t>
        </is>
      </c>
      <c r="B13" s="36" t="inlineStr">
        <is>
          <t>Nguyen Nhat Huy</t>
        </is>
      </c>
      <c r="C13" s="43" t="inlineStr">
        <is>
          <t>524H0052</t>
        </is>
      </c>
      <c r="D13" s="43" t="inlineStr">
        <is>
          <t>Programmer &amp; Tool Manager</t>
        </is>
      </c>
      <c r="E13" s="12" t="n">
        <v>0.3</v>
      </c>
      <c r="F13" s="45">
        <f>IF(C13="","",SUMIF('Commit Log'!$C$5:$C$64,C13,'Commit Log'!$E$5:$E$64))</f>
        <v/>
      </c>
      <c r="G13" s="45">
        <f>IF(C13="","",IF(AND(ISNUMBER(F13),F13&gt;0),"OK","No commits yet"))</f>
        <v/>
      </c>
    </row>
    <row r="14">
      <c r="A14" s="9" t="inlineStr">
        <is>
          <t>Member 4</t>
        </is>
      </c>
      <c r="B14" s="43" t="n"/>
      <c r="C14" s="43" t="n"/>
      <c r="D14" s="43" t="n"/>
      <c r="E14" s="12" t="n"/>
      <c r="F14" s="45">
        <f>IF(C14="","",SUMIF('Commit Log'!$C$5:$C$64,C14,'Commit Log'!$E$5:$E$64))</f>
        <v/>
      </c>
      <c r="G14" s="45">
        <f>IF(C14="","",IF(AND(ISNUMBER(F14),F14&gt;0),"OK","No commits yet"))</f>
        <v/>
      </c>
    </row>
    <row r="15">
      <c r="A15" s="9" t="inlineStr">
        <is>
          <t>Member 5</t>
        </is>
      </c>
      <c r="B15" s="43" t="n"/>
      <c r="C15" s="43" t="n"/>
      <c r="D15" s="43" t="n"/>
      <c r="E15" s="12" t="n"/>
      <c r="F15" s="45">
        <f>IF(C15="","",SUMIF('Commit Log'!$C$5:$C$64,C15,'Commit Log'!$E$5:$E$64))</f>
        <v/>
      </c>
      <c r="G15" s="45">
        <f>IF(C15="","",IF(AND(ISNUMBER(F15),F15&gt;0),"OK","No commits yet"))</f>
        <v/>
      </c>
    </row>
    <row r="16">
      <c r="D16" s="9" t="inlineStr">
        <is>
          <t>Total contribution</t>
        </is>
      </c>
      <c r="E16" s="13">
        <f>SUM(E11:E15)</f>
        <v/>
      </c>
    </row>
    <row r="17">
      <c r="D17" s="9" t="inlineStr">
        <is>
          <t>Check</t>
        </is>
      </c>
      <c r="E17" s="45">
        <f>IF(ROUND(E16,4)=1,"OK","Must total 100%")</f>
        <v/>
      </c>
    </row>
    <row r="19">
      <c r="A19" s="14" t="inlineStr">
        <is>
          <t>Contribution is the share of the whole project each member built, in agreement with the group. The lecturer may adjust it using the Git history, the pull requests and individual questions.</t>
        </is>
      </c>
    </row>
  </sheetData>
  <mergeCells count="3">
    <mergeCell ref="B4:C4"/>
    <mergeCell ref="B7:D7"/>
    <mergeCell ref="B5:D5"/>
  </mergeCells>
  <conditionalFormatting sqref="B7">
    <cfRule type="expression" priority="2" dxfId="0">
      <formula>B7&lt;&gt;"OK"</formula>
    </cfRule>
  </conditionalFormatting>
  <conditionalFormatting sqref="E17">
    <cfRule type="expression" priority="4" dxfId="0">
      <formula>E17&lt;&gt;"OK"</formula>
    </cfRule>
  </conditionalFormatting>
  <conditionalFormatting sqref="G11:G15">
    <cfRule type="expression" priority="3" dxfId="0">
      <formula>G11="No commits yet"</formula>
    </cfRule>
  </conditionalFormatting>
  <dataValidations count="1">
    <dataValidation sqref="E11:E15" showDropDown="0" showInputMessage="0" showErrorMessage="1" allowBlank="1" error="Enter a percentage from 0% to 100%." type="decimal">
      <formula1>0</formula1>
      <formula2>1</formula2>
    </dataValidation>
  </dataValidations>
  <hyperlinks>
    <hyperlink xmlns:r="http://schemas.openxmlformats.org/officeDocument/2006/relationships" ref="B5" r:id="rId1"/>
  </hyperlinks>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J62"/>
  <sheetViews>
    <sheetView showGridLines="0" zoomScaleNormal="100" workbookViewId="0">
      <pane xSplit="1" ySplit="4" topLeftCell="B5" activePane="bottomRight" state="frozen"/>
      <selection pane="topRight" activeCell="B1" sqref="B1"/>
      <selection pane="bottomLeft" activeCell="A5" sqref="A5"/>
      <selection pane="bottomRight" activeCell="H19" sqref="H19"/>
    </sheetView>
  </sheetViews>
  <sheetFormatPr baseColWidth="8" defaultColWidth="8.7109375" defaultRowHeight="15"/>
  <cols>
    <col width="10" customWidth="1" min="1" max="1"/>
    <col width="52" customWidth="1" min="2" max="2"/>
    <col width="14.5703125" customWidth="1" min="3" max="3"/>
    <col width="18" customWidth="1" min="4" max="4"/>
    <col width="40" customWidth="1" min="5" max="5"/>
    <col width="28" customWidth="1" min="6" max="6"/>
    <col width="12" customWidth="1" min="7" max="9"/>
    <col width="26" customWidth="1" min="10" max="10"/>
  </cols>
  <sheetData>
    <row r="1" ht="19.5" customHeight="1">
      <c r="A1" s="1" t="inlineStr">
        <is>
          <t>Requirements Specification (Task 2, 15 marks)</t>
        </is>
      </c>
    </row>
    <row r="2">
      <c r="A2" s="2" t="inlineStr">
        <is>
          <t>Functional, Non-Functional and Domain requirements. Every NFR needs a measurable metric. Focus: reliability and response time.</t>
        </is>
      </c>
    </row>
    <row r="4" ht="33.75" customHeight="1">
      <c r="A4" s="7" t="inlineStr">
        <is>
          <t>ID</t>
        </is>
      </c>
      <c r="B4" s="11" t="inlineStr">
        <is>
          <t>Requirement</t>
        </is>
      </c>
      <c r="C4" s="11" t="inlineStr">
        <is>
          <t>Type</t>
        </is>
      </c>
      <c r="D4" s="11" t="inlineStr">
        <is>
          <t>Category (NFR)</t>
        </is>
      </c>
      <c r="E4" s="11" t="inlineStr">
        <is>
          <t>Measurable metric / fit criterion (NFR)</t>
        </is>
      </c>
      <c r="F4" s="11" t="inlineStr">
        <is>
          <t>Measurement method</t>
        </is>
      </c>
      <c r="G4" s="11" t="inlineStr">
        <is>
          <t>Priority</t>
        </is>
      </c>
      <c r="H4" s="11" t="inlineStr">
        <is>
          <t>Use case</t>
        </is>
      </c>
      <c r="I4" s="11" t="inlineStr">
        <is>
          <t>Source (Q ID)</t>
        </is>
      </c>
      <c r="J4" s="15" t="inlineStr">
        <is>
          <t>Lecturer comment</t>
        </is>
      </c>
    </row>
    <row r="5" ht="30" customHeight="1">
      <c r="A5" s="16" t="inlineStr">
        <is>
          <t>FR1</t>
        </is>
      </c>
      <c r="B5" s="43" t="inlineStr">
        <is>
          <t>The system shall display an interactive station list and route map when the passenger presses "Start".</t>
        </is>
      </c>
      <c r="C5" s="43" t="inlineStr">
        <is>
          <t>Functional</t>
        </is>
      </c>
      <c r="D5" s="43" t="inlineStr">
        <is>
          <t>-</t>
        </is>
      </c>
      <c r="E5" s="43" t="inlineStr">
        <is>
          <t>-</t>
        </is>
      </c>
      <c r="F5" s="43" t="inlineStr">
        <is>
          <t>-</t>
        </is>
      </c>
      <c r="G5" s="43" t="inlineStr">
        <is>
          <t>High</t>
        </is>
      </c>
      <c r="H5" s="43" t="inlineStr">
        <is>
          <t>UC1</t>
        </is>
      </c>
      <c r="I5" s="43" t="inlineStr">
        <is>
          <t>-</t>
        </is>
      </c>
      <c r="J5" s="47" t="n"/>
    </row>
    <row r="6" ht="30" customHeight="1">
      <c r="A6" s="16" t="inlineStr">
        <is>
          <t>FR2</t>
        </is>
      </c>
      <c r="B6" s="43" t="inlineStr">
        <is>
          <t>The system shall allow passengers to select destination stations, ticket quantities, and fare categories.</t>
        </is>
      </c>
      <c r="C6" s="43" t="inlineStr">
        <is>
          <t>Functional</t>
        </is>
      </c>
      <c r="D6" s="43" t="inlineStr">
        <is>
          <t>-</t>
        </is>
      </c>
      <c r="E6" s="43" t="inlineStr">
        <is>
          <t>-</t>
        </is>
      </c>
      <c r="F6" s="43" t="inlineStr">
        <is>
          <t>-</t>
        </is>
      </c>
      <c r="G6" s="43" t="inlineStr">
        <is>
          <t>High</t>
        </is>
      </c>
      <c r="H6" s="43" t="inlineStr">
        <is>
          <t>UC1</t>
        </is>
      </c>
      <c r="I6" s="43" t="inlineStr">
        <is>
          <t>-</t>
        </is>
      </c>
      <c r="J6" s="47" t="n"/>
    </row>
    <row r="7" ht="30" customHeight="1">
      <c r="A7" s="16" t="inlineStr">
        <is>
          <t>FR3</t>
        </is>
      </c>
      <c r="B7" s="43" t="inlineStr">
        <is>
          <t>The system shall support two payment options: Credit/Debit Card and E-Wallet / QR Code.</t>
        </is>
      </c>
      <c r="C7" s="43" t="inlineStr">
        <is>
          <t>Functional</t>
        </is>
      </c>
      <c r="D7" s="43" t="inlineStr">
        <is>
          <t>-</t>
        </is>
      </c>
      <c r="E7" s="43" t="inlineStr">
        <is>
          <t>-</t>
        </is>
      </c>
      <c r="F7" s="43" t="inlineStr">
        <is>
          <t>-</t>
        </is>
      </c>
      <c r="G7" s="43" t="inlineStr">
        <is>
          <t>High</t>
        </is>
      </c>
      <c r="H7" s="43" t="inlineStr">
        <is>
          <t>UC2, UC3</t>
        </is>
      </c>
      <c r="I7" s="43" t="inlineStr">
        <is>
          <t>-</t>
        </is>
      </c>
      <c r="J7" s="47" t="n"/>
    </row>
    <row r="8" ht="30" customHeight="1">
      <c r="A8" s="16" t="inlineStr">
        <is>
          <t>FR4</t>
        </is>
      </c>
      <c r="B8" s="43" t="inlineStr">
        <is>
          <t>The system shall generate and display a dynamic QR code on screen when QR payment is selected.</t>
        </is>
      </c>
      <c r="C8" s="43" t="inlineStr">
        <is>
          <t>Functional</t>
        </is>
      </c>
      <c r="D8" s="43" t="inlineStr">
        <is>
          <t>-</t>
        </is>
      </c>
      <c r="E8" s="43" t="inlineStr">
        <is>
          <t>-</t>
        </is>
      </c>
      <c r="F8" s="43" t="inlineStr">
        <is>
          <t>-</t>
        </is>
      </c>
      <c r="G8" s="43" t="inlineStr">
        <is>
          <t>High</t>
        </is>
      </c>
      <c r="H8" s="43" t="inlineStr">
        <is>
          <t>UC3</t>
        </is>
      </c>
      <c r="I8" s="43" t="inlineStr">
        <is>
          <t>Q01</t>
        </is>
      </c>
      <c r="J8" s="47" t="n"/>
    </row>
    <row r="9" ht="30" customHeight="1">
      <c r="A9" s="16" t="inlineStr">
        <is>
          <t>FR5</t>
        </is>
      </c>
      <c r="B9" s="43" t="inlineStr">
        <is>
          <t>The system shall interface with external Payment Gateway APIs to authorize payment and enforce a 60-second timeout mechanism.</t>
        </is>
      </c>
      <c r="C9" s="43" t="inlineStr">
        <is>
          <t>Functional</t>
        </is>
      </c>
      <c r="D9" s="43" t="inlineStr">
        <is>
          <t>-</t>
        </is>
      </c>
      <c r="E9" s="43" t="inlineStr">
        <is>
          <t>-</t>
        </is>
      </c>
      <c r="F9" s="43" t="inlineStr">
        <is>
          <t>-</t>
        </is>
      </c>
      <c r="G9" s="43" t="inlineStr">
        <is>
          <t>High</t>
        </is>
      </c>
      <c r="H9" s="43" t="inlineStr">
        <is>
          <t>UC2, UC3</t>
        </is>
      </c>
      <c r="I9" s="43" t="inlineStr">
        <is>
          <t>Q01, Q04</t>
        </is>
      </c>
      <c r="J9" s="47" t="n"/>
    </row>
    <row r="10" ht="30" customHeight="1">
      <c r="A10" s="16" t="inlineStr">
        <is>
          <t>FR6</t>
        </is>
      </c>
      <c r="B10" s="43" t="inlineStr">
        <is>
          <t>The system shall command the internal printer to print barcode tickets upon successful payment authorization.</t>
        </is>
      </c>
      <c r="C10" s="43" t="inlineStr">
        <is>
          <t>Functional</t>
        </is>
      </c>
      <c r="D10" s="43" t="inlineStr">
        <is>
          <t>-</t>
        </is>
      </c>
      <c r="E10" s="43" t="inlineStr">
        <is>
          <t>-</t>
        </is>
      </c>
      <c r="F10" s="43" t="inlineStr">
        <is>
          <t>-</t>
        </is>
      </c>
      <c r="G10" s="43" t="inlineStr">
        <is>
          <t>High</t>
        </is>
      </c>
      <c r="H10" s="43" t="inlineStr">
        <is>
          <t>UC4</t>
        </is>
      </c>
      <c r="I10" s="43" t="inlineStr">
        <is>
          <t>Q02</t>
        </is>
      </c>
      <c r="J10" s="47" t="n"/>
    </row>
    <row r="11" ht="30" customHeight="1">
      <c r="A11" s="16" t="inlineStr">
        <is>
          <t>FR7</t>
        </is>
      </c>
      <c r="B11" s="43" t="inlineStr">
        <is>
          <t>The system shall allow passengers to cancel ongoing transactions at any stage prior to payment completion and reset to home.</t>
        </is>
      </c>
      <c r="C11" s="43" t="inlineStr">
        <is>
          <t>Functional</t>
        </is>
      </c>
      <c r="D11" s="43" t="inlineStr">
        <is>
          <t>-</t>
        </is>
      </c>
      <c r="E11" s="43" t="inlineStr">
        <is>
          <t>-</t>
        </is>
      </c>
      <c r="F11" s="43" t="inlineStr">
        <is>
          <t>-</t>
        </is>
      </c>
      <c r="G11" s="43" t="inlineStr">
        <is>
          <t>Medium</t>
        </is>
      </c>
      <c r="H11" s="43" t="inlineStr">
        <is>
          <t>UC5</t>
        </is>
      </c>
      <c r="I11" s="43" t="inlineStr">
        <is>
          <t>Q03</t>
        </is>
      </c>
      <c r="J11" s="47" t="n"/>
    </row>
    <row r="12" ht="30" customHeight="1">
      <c r="A12" s="16" t="inlineStr">
        <is>
          <t>NFR1</t>
        </is>
      </c>
      <c r="B12" s="43" t="inlineStr">
        <is>
          <t>The station selection screen and route list must load rapidly during user interactions.</t>
        </is>
      </c>
      <c r="C12" s="43" t="inlineStr">
        <is>
          <t>Non-Functional</t>
        </is>
      </c>
      <c r="D12" s="43" t="inlineStr">
        <is>
          <t>Performance</t>
        </is>
      </c>
      <c r="E12" s="43" t="inlineStr">
        <is>
          <t>Load time &lt; 1.0s for 95% of interactions</t>
        </is>
      </c>
      <c r="F12" s="43" t="inlineStr">
        <is>
          <t>UI benchmark testing over 1,000 actions</t>
        </is>
      </c>
      <c r="G12" s="43" t="inlineStr">
        <is>
          <t>High</t>
        </is>
      </c>
      <c r="H12" s="43" t="inlineStr">
        <is>
          <t>UC1</t>
        </is>
      </c>
      <c r="I12" s="43" t="inlineStr">
        <is>
          <t>-</t>
        </is>
      </c>
      <c r="J12" s="47" t="n"/>
    </row>
    <row r="13" ht="30" customHeight="1">
      <c r="A13" s="16" t="inlineStr">
        <is>
          <t>NFR2</t>
        </is>
      </c>
      <c r="B13" s="43" t="inlineStr">
        <is>
          <t>Dynamic payment QR codes must be rendered quickly upon user request.</t>
        </is>
      </c>
      <c r="C13" s="43" t="inlineStr">
        <is>
          <t>Non-Functional</t>
        </is>
      </c>
      <c r="D13" s="43" t="inlineStr">
        <is>
          <t>Response Time</t>
        </is>
      </c>
      <c r="E13" s="43" t="inlineStr">
        <is>
          <t>Dynamic QR code rendered in &lt; 2.0s</t>
        </is>
      </c>
      <c r="F13" s="43" t="inlineStr">
        <is>
          <t>API gateway latency tracking</t>
        </is>
      </c>
      <c r="G13" s="43" t="inlineStr">
        <is>
          <t>High</t>
        </is>
      </c>
      <c r="H13" s="43" t="inlineStr">
        <is>
          <t>UC3</t>
        </is>
      </c>
      <c r="I13" s="43" t="inlineStr">
        <is>
          <t>Q01</t>
        </is>
      </c>
      <c r="J13" s="47" t="n"/>
    </row>
    <row r="14" ht="30" customHeight="1">
      <c r="A14" s="16" t="inlineStr">
        <is>
          <t>NFR3</t>
        </is>
      </c>
      <c r="B14" s="43" t="inlineStr">
        <is>
          <t>The TVM application must maintain continuous operational availability.</t>
        </is>
      </c>
      <c r="C14" s="43" t="inlineStr">
        <is>
          <t>Non-Functional</t>
        </is>
      </c>
      <c r="D14" s="43" t="inlineStr">
        <is>
          <t>Reliability</t>
        </is>
      </c>
      <c r="E14" s="43" t="inlineStr">
        <is>
          <t>99.9% uptime per year (excluding maintenance)</t>
        </is>
      </c>
      <c r="F14" s="43" t="inlineStr">
        <is>
          <t>System Event Log automated audits</t>
        </is>
      </c>
      <c r="G14" s="43" t="inlineStr">
        <is>
          <t>High</t>
        </is>
      </c>
      <c r="H14" s="43" t="inlineStr">
        <is>
          <t>All</t>
        </is>
      </c>
      <c r="I14" s="43" t="inlineStr">
        <is>
          <t>Q02, Q04</t>
        </is>
      </c>
      <c r="J14" s="47" t="n"/>
    </row>
    <row r="15" ht="30" customHeight="1">
      <c r="A15" s="16" t="inlineStr">
        <is>
          <t>DR1</t>
        </is>
      </c>
      <c r="B15" s="43" t="inlineStr">
        <is>
          <t>The system shall generate printed ticket barcodes compliant with public transport encoding rules.</t>
        </is>
      </c>
      <c r="C15" s="43" t="inlineStr">
        <is>
          <t>Domain</t>
        </is>
      </c>
      <c r="D15" s="43" t="inlineStr">
        <is>
          <t>Standard</t>
        </is>
      </c>
      <c r="E15" s="43" t="inlineStr">
        <is>
          <t>ISO/IEC 18004 QR Code Standard</t>
        </is>
      </c>
      <c r="F15" s="43" t="inlineStr">
        <is>
          <t>Barcode scanner validation</t>
        </is>
      </c>
      <c r="G15" s="43" t="inlineStr">
        <is>
          <t>High</t>
        </is>
      </c>
      <c r="H15" s="43" t="inlineStr">
        <is>
          <t>UC4</t>
        </is>
      </c>
      <c r="I15" s="43" t="inlineStr">
        <is>
          <t>-</t>
        </is>
      </c>
      <c r="J15" s="47" t="n"/>
    </row>
    <row r="16" ht="30" customHeight="1">
      <c r="A16" s="16" t="inlineStr">
        <is>
          <t>DR2</t>
        </is>
      </c>
      <c r="B16" s="43" t="inlineStr">
        <is>
          <t>The system shall process credit card payments in compliance with payment industry data security guidelines.</t>
        </is>
      </c>
      <c r="C16" s="43" t="inlineStr">
        <is>
          <t>Domain</t>
        </is>
      </c>
      <c r="D16" s="43" t="inlineStr">
        <is>
          <t>Security</t>
        </is>
      </c>
      <c r="E16" s="43" t="inlineStr">
        <is>
          <t>PCI-DSS &amp; EMV Payment Standard</t>
        </is>
      </c>
      <c r="F16" s="43" t="inlineStr">
        <is>
          <t>Security compliance audit</t>
        </is>
      </c>
      <c r="G16" s="43" t="inlineStr">
        <is>
          <t>High</t>
        </is>
      </c>
      <c r="H16" s="43" t="inlineStr">
        <is>
          <t>UC2, UC3</t>
        </is>
      </c>
      <c r="I16" s="43" t="inlineStr">
        <is>
          <t>-</t>
        </is>
      </c>
      <c r="J16" s="47" t="n"/>
    </row>
    <row r="17" ht="30" customHeight="1">
      <c r="A17" s="16">
        <f>IF(C17="","",C17&amp;COUNTIF($C$5:C17,C17))</f>
        <v/>
      </c>
      <c r="B17" s="43" t="n"/>
      <c r="C17" s="43" t="n"/>
      <c r="D17" s="43" t="n"/>
      <c r="E17" s="43" t="n"/>
      <c r="F17" s="43" t="n"/>
      <c r="G17" s="43" t="n"/>
      <c r="H17" s="43" t="n"/>
      <c r="I17" s="43" t="n"/>
      <c r="J17" s="47" t="n"/>
    </row>
    <row r="18" ht="30" customHeight="1">
      <c r="A18" s="16">
        <f>IF(C18="","",C18&amp;COUNTIF($C$5:C18,C18))</f>
        <v/>
      </c>
      <c r="B18" s="43" t="n"/>
      <c r="C18" s="43" t="n"/>
      <c r="D18" s="43" t="n"/>
      <c r="E18" s="43" t="n"/>
      <c r="F18" s="43" t="n"/>
      <c r="G18" s="43" t="n"/>
      <c r="H18" s="43" t="n"/>
      <c r="I18" s="43" t="n"/>
      <c r="J18" s="47" t="n"/>
    </row>
    <row r="19" ht="30" customHeight="1">
      <c r="A19" s="16">
        <f>IF(C19="","",C19&amp;COUNTIF($C$5:C19,C19))</f>
        <v/>
      </c>
      <c r="B19" s="43" t="n"/>
      <c r="C19" s="43" t="n"/>
      <c r="D19" s="43" t="n"/>
      <c r="E19" s="43" t="n"/>
      <c r="F19" s="43" t="n"/>
      <c r="G19" s="43" t="n"/>
      <c r="H19" s="43" t="n"/>
      <c r="I19" s="43" t="n"/>
      <c r="J19" s="47" t="n"/>
    </row>
    <row r="20" ht="30" customHeight="1">
      <c r="A20" s="16">
        <f>IF(C20="","",C20&amp;COUNTIF($C$5:C20,C20))</f>
        <v/>
      </c>
      <c r="B20" s="43" t="n"/>
      <c r="C20" s="43" t="n"/>
      <c r="D20" s="43" t="n"/>
      <c r="E20" s="43" t="n"/>
      <c r="F20" s="43" t="n"/>
      <c r="G20" s="43" t="n"/>
      <c r="H20" s="43" t="n"/>
      <c r="I20" s="43" t="n"/>
      <c r="J20" s="47" t="n"/>
    </row>
    <row r="21" ht="30" customHeight="1">
      <c r="A21" s="16">
        <f>IF(C21="","",C21&amp;COUNTIF($C$5:C21,C21))</f>
        <v/>
      </c>
      <c r="B21" s="43" t="n"/>
      <c r="C21" s="43" t="n"/>
      <c r="D21" s="43" t="n"/>
      <c r="E21" s="43" t="n"/>
      <c r="F21" s="43" t="n"/>
      <c r="G21" s="43" t="n"/>
      <c r="H21" s="43" t="n"/>
      <c r="I21" s="43" t="n"/>
      <c r="J21" s="47" t="n"/>
    </row>
    <row r="22" ht="30" customHeight="1">
      <c r="A22" s="16">
        <f>IF(C22="","",C22&amp;COUNTIF($C$5:C22,C22))</f>
        <v/>
      </c>
      <c r="B22" s="43" t="n"/>
      <c r="C22" s="43" t="n"/>
      <c r="D22" s="43" t="n"/>
      <c r="E22" s="43" t="n"/>
      <c r="F22" s="43" t="n"/>
      <c r="G22" s="43" t="n"/>
      <c r="H22" s="43" t="n"/>
      <c r="I22" s="43" t="n"/>
      <c r="J22" s="47" t="n"/>
    </row>
    <row r="23" ht="30" customHeight="1">
      <c r="A23" s="16">
        <f>IF(C23="","",C23&amp;COUNTIF($C$5:C23,C23))</f>
        <v/>
      </c>
      <c r="B23" s="43" t="n"/>
      <c r="C23" s="43" t="n"/>
      <c r="D23" s="43" t="n"/>
      <c r="E23" s="43" t="n"/>
      <c r="F23" s="43" t="n"/>
      <c r="G23" s="43" t="n"/>
      <c r="H23" s="43" t="n"/>
      <c r="I23" s="43" t="n"/>
      <c r="J23" s="47" t="n"/>
    </row>
    <row r="24" ht="30" customHeight="1">
      <c r="A24" s="16">
        <f>IF(C24="","",C24&amp;COUNTIF($C$5:C24,C24))</f>
        <v/>
      </c>
      <c r="B24" s="43" t="n"/>
      <c r="C24" s="43" t="n"/>
      <c r="D24" s="43" t="n"/>
      <c r="E24" s="43" t="n"/>
      <c r="F24" s="43" t="n"/>
      <c r="G24" s="43" t="n"/>
      <c r="H24" s="43" t="n"/>
      <c r="I24" s="43" t="n"/>
      <c r="J24" s="47" t="n"/>
    </row>
    <row r="25" ht="30" customHeight="1">
      <c r="A25" s="16">
        <f>IF(C25="","",C25&amp;COUNTIF($C$5:C25,C25))</f>
        <v/>
      </c>
      <c r="B25" s="43" t="n"/>
      <c r="C25" s="43" t="n"/>
      <c r="D25" s="43" t="n"/>
      <c r="E25" s="43" t="n"/>
      <c r="F25" s="43" t="n"/>
      <c r="G25" s="43" t="n"/>
      <c r="H25" s="43" t="n"/>
      <c r="I25" s="43" t="n"/>
      <c r="J25" s="47" t="n"/>
    </row>
    <row r="26" ht="30" customHeight="1">
      <c r="A26" s="16">
        <f>IF(C26="","",C26&amp;COUNTIF($C$5:C26,C26))</f>
        <v/>
      </c>
      <c r="B26" s="43" t="n"/>
      <c r="C26" s="43" t="n"/>
      <c r="D26" s="43" t="n"/>
      <c r="E26" s="43" t="n"/>
      <c r="F26" s="43" t="n"/>
      <c r="G26" s="43" t="n"/>
      <c r="H26" s="43" t="n"/>
      <c r="I26" s="43" t="n"/>
      <c r="J26" s="47" t="n"/>
    </row>
    <row r="27" ht="30" customHeight="1">
      <c r="A27" s="16">
        <f>IF(C27="","",C27&amp;COUNTIF($C$5:C27,C27))</f>
        <v/>
      </c>
      <c r="B27" s="43" t="n"/>
      <c r="C27" s="43" t="n"/>
      <c r="D27" s="43" t="n"/>
      <c r="E27" s="43" t="n"/>
      <c r="F27" s="43" t="n"/>
      <c r="G27" s="43" t="n"/>
      <c r="H27" s="43" t="n"/>
      <c r="I27" s="43" t="n"/>
      <c r="J27" s="47" t="n"/>
    </row>
    <row r="28" ht="30" customHeight="1">
      <c r="A28" s="16">
        <f>IF(C28="","",C28&amp;COUNTIF($C$5:C28,C28))</f>
        <v/>
      </c>
      <c r="B28" s="43" t="n"/>
      <c r="C28" s="43" t="n"/>
      <c r="D28" s="43" t="n"/>
      <c r="E28" s="43" t="n"/>
      <c r="F28" s="43" t="n"/>
      <c r="G28" s="43" t="n"/>
      <c r="H28" s="43" t="n"/>
      <c r="I28" s="43" t="n"/>
      <c r="J28" s="47" t="n"/>
    </row>
    <row r="29" ht="30" customHeight="1">
      <c r="A29" s="16">
        <f>IF(C29="","",C29&amp;COUNTIF($C$5:C29,C29))</f>
        <v/>
      </c>
      <c r="B29" s="43" t="n"/>
      <c r="C29" s="43" t="n"/>
      <c r="D29" s="43" t="n"/>
      <c r="E29" s="43" t="n"/>
      <c r="F29" s="43" t="n"/>
      <c r="G29" s="43" t="n"/>
      <c r="H29" s="43" t="n"/>
      <c r="I29" s="43" t="n"/>
      <c r="J29" s="47" t="n"/>
    </row>
    <row r="30" ht="30" customHeight="1">
      <c r="A30" s="16">
        <f>IF(C30="","",C30&amp;COUNTIF($C$5:C30,C30))</f>
        <v/>
      </c>
      <c r="B30" s="43" t="n"/>
      <c r="C30" s="43" t="n"/>
      <c r="D30" s="43" t="n"/>
      <c r="E30" s="43" t="n"/>
      <c r="F30" s="43" t="n"/>
      <c r="G30" s="43" t="n"/>
      <c r="H30" s="43" t="n"/>
      <c r="I30" s="43" t="n"/>
      <c r="J30" s="47" t="n"/>
    </row>
    <row r="31" ht="30" customHeight="1">
      <c r="A31" s="16">
        <f>IF(C31="","",C31&amp;COUNTIF($C$5:C31,C31))</f>
        <v/>
      </c>
      <c r="B31" s="43" t="n"/>
      <c r="C31" s="43" t="n"/>
      <c r="D31" s="43" t="n"/>
      <c r="E31" s="43" t="n"/>
      <c r="F31" s="43" t="n"/>
      <c r="G31" s="43" t="n"/>
      <c r="H31" s="43" t="n"/>
      <c r="I31" s="43" t="n"/>
      <c r="J31" s="47" t="n"/>
    </row>
    <row r="32" ht="30" customHeight="1">
      <c r="A32" s="16">
        <f>IF(C32="","",C32&amp;COUNTIF($C$5:C32,C32))</f>
        <v/>
      </c>
      <c r="B32" s="43" t="n"/>
      <c r="C32" s="43" t="n"/>
      <c r="D32" s="43" t="n"/>
      <c r="E32" s="43" t="n"/>
      <c r="F32" s="43" t="n"/>
      <c r="G32" s="43" t="n"/>
      <c r="H32" s="43" t="n"/>
      <c r="I32" s="43" t="n"/>
      <c r="J32" s="47" t="n"/>
    </row>
    <row r="33" ht="30" customHeight="1">
      <c r="A33" s="16">
        <f>IF(C33="","",C33&amp;COUNTIF($C$5:C33,C33))</f>
        <v/>
      </c>
      <c r="B33" s="43" t="n"/>
      <c r="C33" s="43" t="n"/>
      <c r="D33" s="43" t="n"/>
      <c r="E33" s="43" t="n"/>
      <c r="F33" s="43" t="n"/>
      <c r="G33" s="43" t="n"/>
      <c r="H33" s="43" t="n"/>
      <c r="I33" s="43" t="n"/>
      <c r="J33" s="47" t="n"/>
    </row>
    <row r="34" ht="30" customHeight="1">
      <c r="A34" s="16">
        <f>IF(C34="","",C34&amp;COUNTIF($C$5:C34,C34))</f>
        <v/>
      </c>
      <c r="B34" s="43" t="n"/>
      <c r="C34" s="43" t="n"/>
      <c r="D34" s="43" t="n"/>
      <c r="E34" s="43" t="n"/>
      <c r="F34" s="43" t="n"/>
      <c r="G34" s="43" t="n"/>
      <c r="H34" s="43" t="n"/>
      <c r="I34" s="43" t="n"/>
      <c r="J34" s="47" t="n"/>
    </row>
    <row r="35" ht="30" customHeight="1">
      <c r="A35" s="16">
        <f>IF(C35="","",C35&amp;COUNTIF($C$5:C35,C35))</f>
        <v/>
      </c>
      <c r="B35" s="43" t="n"/>
      <c r="C35" s="43" t="n"/>
      <c r="D35" s="43" t="n"/>
      <c r="E35" s="43" t="n"/>
      <c r="F35" s="43" t="n"/>
      <c r="G35" s="43" t="n"/>
      <c r="H35" s="43" t="n"/>
      <c r="I35" s="43" t="n"/>
      <c r="J35" s="47" t="n"/>
    </row>
    <row r="36" ht="30" customHeight="1">
      <c r="A36" s="16">
        <f>IF(C36="","",C36&amp;COUNTIF($C$5:C36,C36))</f>
        <v/>
      </c>
      <c r="B36" s="43" t="n"/>
      <c r="C36" s="43" t="n"/>
      <c r="D36" s="43" t="n"/>
      <c r="E36" s="43" t="n"/>
      <c r="F36" s="43" t="n"/>
      <c r="G36" s="43" t="n"/>
      <c r="H36" s="43" t="n"/>
      <c r="I36" s="43" t="n"/>
      <c r="J36" s="47" t="n"/>
    </row>
    <row r="37" ht="30" customHeight="1">
      <c r="A37" s="16">
        <f>IF(C37="","",C37&amp;COUNTIF($C$5:C37,C37))</f>
        <v/>
      </c>
      <c r="B37" s="43" t="n"/>
      <c r="C37" s="43" t="n"/>
      <c r="D37" s="43" t="n"/>
      <c r="E37" s="43" t="n"/>
      <c r="F37" s="43" t="n"/>
      <c r="G37" s="43" t="n"/>
      <c r="H37" s="43" t="n"/>
      <c r="I37" s="43" t="n"/>
      <c r="J37" s="47" t="n"/>
    </row>
    <row r="38" ht="30" customHeight="1">
      <c r="A38" s="16">
        <f>IF(C38="","",C38&amp;COUNTIF($C$5:C38,C38))</f>
        <v/>
      </c>
      <c r="B38" s="43" t="n"/>
      <c r="C38" s="43" t="n"/>
      <c r="D38" s="43" t="n"/>
      <c r="E38" s="43" t="n"/>
      <c r="F38" s="43" t="n"/>
      <c r="G38" s="43" t="n"/>
      <c r="H38" s="43" t="n"/>
      <c r="I38" s="43" t="n"/>
      <c r="J38" s="47" t="n"/>
    </row>
    <row r="39" ht="30" customHeight="1">
      <c r="A39" s="16">
        <f>IF(C39="","",C39&amp;COUNTIF($C$5:C39,C39))</f>
        <v/>
      </c>
      <c r="B39" s="43" t="n"/>
      <c r="C39" s="43" t="n"/>
      <c r="D39" s="43" t="n"/>
      <c r="E39" s="43" t="n"/>
      <c r="F39" s="43" t="n"/>
      <c r="G39" s="43" t="n"/>
      <c r="H39" s="43" t="n"/>
      <c r="I39" s="43" t="n"/>
      <c r="J39" s="47" t="n"/>
    </row>
    <row r="40" ht="30" customHeight="1">
      <c r="A40" s="16">
        <f>IF(C40="","",C40&amp;COUNTIF($C$5:C40,C40))</f>
        <v/>
      </c>
      <c r="B40" s="43" t="n"/>
      <c r="C40" s="43" t="n"/>
      <c r="D40" s="43" t="n"/>
      <c r="E40" s="43" t="n"/>
      <c r="F40" s="43" t="n"/>
      <c r="G40" s="43" t="n"/>
      <c r="H40" s="43" t="n"/>
      <c r="I40" s="43" t="n"/>
      <c r="J40" s="47" t="n"/>
    </row>
    <row r="41" ht="30" customHeight="1">
      <c r="A41" s="16">
        <f>IF(C41="","",C41&amp;COUNTIF($C$5:C41,C41))</f>
        <v/>
      </c>
      <c r="B41" s="43" t="n"/>
      <c r="C41" s="43" t="n"/>
      <c r="D41" s="43" t="n"/>
      <c r="E41" s="43" t="n"/>
      <c r="F41" s="43" t="n"/>
      <c r="G41" s="43" t="n"/>
      <c r="H41" s="43" t="n"/>
      <c r="I41" s="43" t="n"/>
      <c r="J41" s="47" t="n"/>
    </row>
    <row r="42" ht="30" customHeight="1">
      <c r="A42" s="16">
        <f>IF(C42="","",C42&amp;COUNTIF($C$5:C42,C42))</f>
        <v/>
      </c>
      <c r="B42" s="43" t="n"/>
      <c r="C42" s="43" t="n"/>
      <c r="D42" s="43" t="n"/>
      <c r="E42" s="43" t="n"/>
      <c r="F42" s="43" t="n"/>
      <c r="G42" s="43" t="n"/>
      <c r="H42" s="43" t="n"/>
      <c r="I42" s="43" t="n"/>
      <c r="J42" s="47" t="n"/>
    </row>
    <row r="43" ht="30" customHeight="1">
      <c r="A43" s="16">
        <f>IF(C43="","",C43&amp;COUNTIF($C$5:C43,C43))</f>
        <v/>
      </c>
      <c r="B43" s="43" t="n"/>
      <c r="C43" s="43" t="n"/>
      <c r="D43" s="43" t="n"/>
      <c r="E43" s="43" t="n"/>
      <c r="F43" s="43" t="n"/>
      <c r="G43" s="43" t="n"/>
      <c r="H43" s="43" t="n"/>
      <c r="I43" s="43" t="n"/>
      <c r="J43" s="47" t="n"/>
    </row>
    <row r="44" ht="30" customHeight="1">
      <c r="A44" s="16">
        <f>IF(C44="","",C44&amp;COUNTIF($C$5:C44,C44))</f>
        <v/>
      </c>
      <c r="B44" s="43" t="n"/>
      <c r="C44" s="43" t="n"/>
      <c r="D44" s="43" t="n"/>
      <c r="E44" s="43" t="n"/>
      <c r="F44" s="43" t="n"/>
      <c r="G44" s="43" t="n"/>
      <c r="H44" s="43" t="n"/>
      <c r="I44" s="43" t="n"/>
      <c r="J44" s="47" t="n"/>
    </row>
    <row r="45" ht="30" customHeight="1">
      <c r="A45" s="16">
        <f>IF(C45="","",C45&amp;COUNTIF($C$5:C45,C45))</f>
        <v/>
      </c>
      <c r="B45" s="43" t="n"/>
      <c r="C45" s="43" t="n"/>
      <c r="D45" s="43" t="n"/>
      <c r="E45" s="43" t="n"/>
      <c r="F45" s="43" t="n"/>
      <c r="G45" s="43" t="n"/>
      <c r="H45" s="43" t="n"/>
      <c r="I45" s="43" t="n"/>
      <c r="J45" s="47" t="n"/>
    </row>
    <row r="46" ht="30" customHeight="1">
      <c r="A46" s="16">
        <f>IF(C46="","",C46&amp;COUNTIF($C$5:C46,C46))</f>
        <v/>
      </c>
      <c r="B46" s="43" t="n"/>
      <c r="C46" s="43" t="n"/>
      <c r="D46" s="43" t="n"/>
      <c r="E46" s="43" t="n"/>
      <c r="F46" s="43" t="n"/>
      <c r="G46" s="43" t="n"/>
      <c r="H46" s="43" t="n"/>
      <c r="I46" s="43" t="n"/>
      <c r="J46" s="47" t="n"/>
    </row>
    <row r="47" ht="30" customHeight="1">
      <c r="A47" s="16">
        <f>IF(C47="","",C47&amp;COUNTIF($C$5:C47,C47))</f>
        <v/>
      </c>
      <c r="B47" s="43" t="n"/>
      <c r="C47" s="43" t="n"/>
      <c r="D47" s="43" t="n"/>
      <c r="E47" s="43" t="n"/>
      <c r="F47" s="43" t="n"/>
      <c r="G47" s="43" t="n"/>
      <c r="H47" s="43" t="n"/>
      <c r="I47" s="43" t="n"/>
      <c r="J47" s="47" t="n"/>
    </row>
    <row r="48" ht="30" customHeight="1">
      <c r="A48" s="16">
        <f>IF(C48="","",C48&amp;COUNTIF($C$5:C48,C48))</f>
        <v/>
      </c>
      <c r="B48" s="43" t="n"/>
      <c r="C48" s="43" t="n"/>
      <c r="D48" s="43" t="n"/>
      <c r="E48" s="43" t="n"/>
      <c r="F48" s="43" t="n"/>
      <c r="G48" s="43" t="n"/>
      <c r="H48" s="43" t="n"/>
      <c r="I48" s="43" t="n"/>
      <c r="J48" s="47" t="n"/>
    </row>
    <row r="49" ht="30" customHeight="1">
      <c r="A49" s="16">
        <f>IF(C49="","",C49&amp;COUNTIF($C$5:C49,C49))</f>
        <v/>
      </c>
      <c r="B49" s="43" t="n"/>
      <c r="C49" s="43" t="n"/>
      <c r="D49" s="43" t="n"/>
      <c r="E49" s="43" t="n"/>
      <c r="F49" s="43" t="n"/>
      <c r="G49" s="43" t="n"/>
      <c r="H49" s="43" t="n"/>
      <c r="I49" s="43" t="n"/>
      <c r="J49" s="47" t="n"/>
    </row>
    <row r="50" ht="30" customHeight="1">
      <c r="A50" s="16">
        <f>IF(C50="","",C50&amp;COUNTIF($C$5:C50,C50))</f>
        <v/>
      </c>
      <c r="B50" s="43" t="n"/>
      <c r="C50" s="43" t="n"/>
      <c r="D50" s="43" t="n"/>
      <c r="E50" s="43" t="n"/>
      <c r="F50" s="43" t="n"/>
      <c r="G50" s="43" t="n"/>
      <c r="H50" s="43" t="n"/>
      <c r="I50" s="43" t="n"/>
      <c r="J50" s="47" t="n"/>
    </row>
    <row r="51" ht="30" customHeight="1">
      <c r="A51" s="16">
        <f>IF(C51="","",C51&amp;COUNTIF($C$5:C51,C51))</f>
        <v/>
      </c>
      <c r="B51" s="43" t="n"/>
      <c r="C51" s="43" t="n"/>
      <c r="D51" s="43" t="n"/>
      <c r="E51" s="43" t="n"/>
      <c r="F51" s="43" t="n"/>
      <c r="G51" s="43" t="n"/>
      <c r="H51" s="43" t="n"/>
      <c r="I51" s="43" t="n"/>
      <c r="J51" s="47" t="n"/>
    </row>
    <row r="52" ht="30" customHeight="1">
      <c r="A52" s="16">
        <f>IF(C52="","",C52&amp;COUNTIF($C$5:C52,C52))</f>
        <v/>
      </c>
      <c r="B52" s="43" t="n"/>
      <c r="C52" s="43" t="n"/>
      <c r="D52" s="43" t="n"/>
      <c r="E52" s="43" t="n"/>
      <c r="F52" s="43" t="n"/>
      <c r="G52" s="43" t="n"/>
      <c r="H52" s="43" t="n"/>
      <c r="I52" s="43" t="n"/>
      <c r="J52" s="47" t="n"/>
    </row>
    <row r="53" ht="30" customHeight="1">
      <c r="A53" s="16">
        <f>IF(C53="","",C53&amp;COUNTIF($C$5:C53,C53))</f>
        <v/>
      </c>
      <c r="B53" s="43" t="n"/>
      <c r="C53" s="43" t="n"/>
      <c r="D53" s="43" t="n"/>
      <c r="E53" s="43" t="n"/>
      <c r="F53" s="43" t="n"/>
      <c r="G53" s="43" t="n"/>
      <c r="H53" s="43" t="n"/>
      <c r="I53" s="43" t="n"/>
      <c r="J53" s="47" t="n"/>
    </row>
    <row r="54" ht="30" customHeight="1">
      <c r="A54" s="16">
        <f>IF(C54="","",C54&amp;COUNTIF($C$5:C54,C54))</f>
        <v/>
      </c>
      <c r="B54" s="43" t="n"/>
      <c r="C54" s="43" t="n"/>
      <c r="D54" s="43" t="n"/>
      <c r="E54" s="43" t="n"/>
      <c r="F54" s="43" t="n"/>
      <c r="G54" s="43" t="n"/>
      <c r="H54" s="43" t="n"/>
      <c r="I54" s="43" t="n"/>
      <c r="J54" s="47" t="n"/>
    </row>
    <row r="56">
      <c r="B56" s="9" t="inlineStr">
        <is>
          <t>Functional requirements</t>
        </is>
      </c>
      <c r="C56" s="45">
        <f>COUNTIF(C5:C54,"FR")</f>
        <v/>
      </c>
    </row>
    <row r="57">
      <c r="B57" s="9" t="inlineStr">
        <is>
          <t>Non-functional requirements</t>
        </is>
      </c>
      <c r="C57" s="45">
        <f>COUNTIF(C5:C54,"NFR")</f>
        <v/>
      </c>
    </row>
    <row r="58">
      <c r="B58" s="9" t="inlineStr">
        <is>
          <t>Domain requirements</t>
        </is>
      </c>
      <c r="C58" s="45">
        <f>COUNTIF(C5:C54,"DR")</f>
        <v/>
      </c>
    </row>
    <row r="59">
      <c r="B59" s="9" t="inlineStr">
        <is>
          <t>NFRs without a measurable metric</t>
        </is>
      </c>
      <c r="C59" s="45">
        <f>COUNTIFS(C5:C54,"NFR",E5:E54,"")</f>
        <v/>
      </c>
    </row>
    <row r="60">
      <c r="B60" s="9" t="inlineStr">
        <is>
          <t>Reliability NFRs (need at least 1)</t>
        </is>
      </c>
      <c r="C60" s="45">
        <f>COUNTIF(D5:D54,"Reliability")</f>
        <v/>
      </c>
    </row>
    <row r="61">
      <c r="B61" s="9" t="inlineStr">
        <is>
          <t>Response-time NFRs (need at least 1)</t>
        </is>
      </c>
      <c r="C61" s="45">
        <f>COUNTIF(D5:D54,"Response time")</f>
        <v/>
      </c>
    </row>
    <row r="62">
      <c r="B62" s="9" t="inlineStr">
        <is>
          <t>Critical focus check</t>
        </is>
      </c>
      <c r="C62" s="45">
        <f>IF(AND(C59=0,C60&gt;=1,C61&gt;=1),"OK","Check NFRs")</f>
        <v/>
      </c>
    </row>
  </sheetData>
  <conditionalFormatting sqref="C62">
    <cfRule type="expression" priority="3" dxfId="0">
      <formula>C62&lt;&gt;"OK"</formula>
    </cfRule>
  </conditionalFormatting>
  <conditionalFormatting sqref="E17:E54">
    <cfRule type="expression" priority="2" dxfId="0">
      <formula>AND($C17="NFR",$E17="",$B17&lt;&gt;"")</formula>
    </cfRule>
  </conditionalFormatting>
  <dataValidations count="3">
    <dataValidation sqref="C17:C54" showDropDown="0" showInputMessage="0" showErrorMessage="1" allowBlank="1" error="Choose a value from the list." type="list">
      <formula1>"FR,NFR,DR"</formula1>
      <formula2>0</formula2>
    </dataValidation>
    <dataValidation sqref="D17:D54" showDropDown="0" showInputMessage="0" showErrorMessage="1" allowBlank="1" error="Choose a value from the list." type="list">
      <formula1>"Reliability,Response time,Availability,Security,Usability,Capacity,Maintainability,Other"</formula1>
      <formula2>0</formula2>
    </dataValidation>
    <dataValidation sqref="G17:G54" showDropDown="0" showInputMessage="0" showErrorMessage="1" allowBlank="1" error="Choose a value from the list." type="list">
      <formula1>"High,Medium,Low"</formula1>
      <formula2>0</formula2>
    </dataValidation>
  </dataValidations>
  <pageMargins left="0.75" right="0.75" top="1" bottom="1"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J35"/>
  <sheetViews>
    <sheetView showGridLines="0" zoomScaleNormal="100" workbookViewId="0">
      <pane xSplit="3" ySplit="4" topLeftCell="D5" activePane="bottomRight" state="frozen"/>
      <selection pane="topRight" activeCell="D1" sqref="D1"/>
      <selection pane="bottomLeft" activeCell="A5" sqref="A5"/>
      <selection pane="bottomRight" activeCell="H7" sqref="H7"/>
    </sheetView>
  </sheetViews>
  <sheetFormatPr baseColWidth="8" defaultColWidth="8.7109375" defaultRowHeight="15"/>
  <cols>
    <col width="7" customWidth="1" min="1" max="1"/>
    <col width="16" customWidth="1" min="2" max="2"/>
    <col width="36" customWidth="1" min="3" max="3"/>
    <col width="41.7109375" customWidth="1" min="4" max="4"/>
    <col width="21.7109375" customWidth="1" min="5" max="5"/>
    <col width="31.42578125" customWidth="1" min="6" max="6"/>
    <col width="39.5703125" customWidth="1" min="7" max="7"/>
    <col width="39.140625" bestFit="1" customWidth="1" min="8" max="8"/>
    <col width="12" customWidth="1" min="9" max="9"/>
    <col width="26" customWidth="1" min="10" max="10"/>
  </cols>
  <sheetData>
    <row r="1" ht="19.5" customHeight="1">
      <c r="A1" s="1" t="inlineStr">
        <is>
          <t>Clarification Q&amp;A (Task 1, 5 marks)</t>
        </is>
      </c>
    </row>
    <row r="2">
      <c r="A2" s="2" t="inlineStr">
        <is>
          <t>Identify the ambiguities in the problem statement, ask the stakeholders, and give logical assumed answers to base your design on.</t>
        </is>
      </c>
    </row>
    <row r="4" ht="48" customHeight="1">
      <c r="A4" s="7" t="inlineStr">
        <is>
          <t>Q ID</t>
        </is>
      </c>
      <c r="B4" s="11" t="inlineStr">
        <is>
          <t>Area</t>
        </is>
      </c>
      <c r="C4" s="11" t="inlineStr">
        <is>
          <t>Ambiguity found in the problem statement</t>
        </is>
      </c>
      <c r="D4" s="11" t="inlineStr">
        <is>
          <t>Clarifying question to the stakeholder</t>
        </is>
      </c>
      <c r="E4" s="11" t="inlineStr">
        <is>
          <t>Stakeholder asked</t>
        </is>
      </c>
      <c r="F4" s="11" t="inlineStr">
        <is>
          <t>Assumed answer (logical)</t>
        </is>
      </c>
      <c r="G4" s="11" t="inlineStr">
        <is>
          <t>Rationale and impact on the design</t>
        </is>
      </c>
      <c r="H4" s="11" t="inlineStr">
        <is>
          <t>Requirement ID</t>
        </is>
      </c>
      <c r="I4" s="11" t="inlineStr">
        <is>
          <t>Status</t>
        </is>
      </c>
      <c r="J4" s="15" t="inlineStr">
        <is>
          <t>Lecturer comment</t>
        </is>
      </c>
    </row>
    <row r="5" ht="63.75" customHeight="1">
      <c r="A5" s="16" t="inlineStr">
        <is>
          <t>Q01</t>
        </is>
      </c>
      <c r="B5" s="43" t="inlineStr">
        <is>
          <t>Payment &amp; Transaction</t>
        </is>
      </c>
      <c r="C5" s="43" t="inlineStr">
        <is>
          <t>The problem statement does not specify the maximum timeout duration or handling procedure when a QR Code payment transaction hangs or loses connection.</t>
        </is>
      </c>
      <c r="D5" s="43" t="inlineStr">
        <is>
          <t>How should the system respond if a QR Code payment transaction times out after 60 seconds without a response from the payment gateway?</t>
        </is>
      </c>
      <c r="E5" s="43" t="inlineStr">
        <is>
          <t>Product Owner</t>
        </is>
      </c>
      <c r="F5" s="43" t="inlineStr">
        <is>
          <t>Automatically cancel the transaction, hide the QR code on screen, and prompt the passenger to retry or choose another payment method.</t>
        </is>
      </c>
      <c r="G5" s="36" t="inlineStr">
        <is>
          <t>Prevents passenger accounts from being charged after they walk away. Requires implementing a 60-second countdown timer and a gateway API timeout handler.</t>
        </is>
      </c>
      <c r="H5" s="43" t="inlineStr">
        <is>
          <t>FR05, NFR02</t>
        </is>
      </c>
      <c r="I5" s="43" t="inlineStr">
        <is>
          <t>Resolved</t>
        </is>
      </c>
      <c r="J5" s="47" t="n"/>
    </row>
    <row r="6" ht="63.75" customHeight="1">
      <c r="A6" s="16" t="inlineStr">
        <is>
          <t>Q02</t>
        </is>
      </c>
      <c r="B6" s="43" t="inlineStr">
        <is>
          <t>Hardware Integration</t>
        </is>
      </c>
      <c r="C6" s="43" t="inlineStr">
        <is>
          <t>The problem statement omits procedures for handling hardware failures, such as paper jams or running out of ticket paper mid-transaction.</t>
        </is>
      </c>
      <c r="D6" s="43" t="inlineStr">
        <is>
          <t>What action should the TVM take if the printer jams or runs out of paper after a successful payment?</t>
        </is>
      </c>
      <c r="E6" s="43" t="inlineStr">
        <is>
          <t>System Administrator</t>
        </is>
      </c>
      <c r="F6" s="43" t="inlineStr">
        <is>
          <t>Switch the machine status to "Out of Service", trigger an automatic refund via the payment gateway, and send an alert to the maintenance server.</t>
        </is>
      </c>
      <c r="G6" s="43" t="inlineStr">
        <is>
          <t>Ensures passengers are not charged without receiving a ticket. Requires paper sensor integration and an automated refund API call.</t>
        </is>
      </c>
      <c r="H6" s="43" t="inlineStr">
        <is>
          <t>FR07, NFR01</t>
        </is>
      </c>
      <c r="I6" s="43" t="inlineStr">
        <is>
          <t>Resolved</t>
        </is>
      </c>
      <c r="J6" s="47" t="n"/>
    </row>
    <row r="7" ht="51" customHeight="1">
      <c r="A7" s="16" t="inlineStr">
        <is>
          <t>Q03</t>
        </is>
      </c>
      <c r="B7" s="43" t="inlineStr">
        <is>
          <t>UI &amp; Flow Control</t>
        </is>
      </c>
      <c r="C7" s="43" t="inlineStr">
        <is>
          <t>The problem statement does not clarify the conditions or screens where a passenger is allowed to cancel an ongoing transaction.</t>
        </is>
      </c>
      <c r="D7" s="43" t="inlineStr">
        <is>
          <t>At which steps during the ticket purchase process can a passenger press "Cancel" to abort the transaction?</t>
        </is>
      </c>
      <c r="E7" s="43" t="inlineStr">
        <is>
          <t>UX Designer</t>
        </is>
      </c>
      <c r="F7" s="43" t="inlineStr">
        <is>
          <t>The passenger can press "Cancel" on any screen before the payment is deducted or the QR code payment is confirmed.</t>
        </is>
      </c>
      <c r="G7" s="43" t="inlineStr">
        <is>
          <t>Enhances user control and usability. Requires a persistent "Cancel" button on all active UI screens and state recovery to home.</t>
        </is>
      </c>
      <c r="H7" s="43" t="inlineStr">
        <is>
          <t>FR04</t>
        </is>
      </c>
      <c r="I7" s="43" t="inlineStr">
        <is>
          <t>Resolved</t>
        </is>
      </c>
      <c r="J7" s="47" t="n"/>
    </row>
    <row r="8" ht="55.5" customHeight="1">
      <c r="A8" s="16" t="inlineStr">
        <is>
          <t>Q04</t>
        </is>
      </c>
      <c r="B8" s="43" t="n"/>
      <c r="C8" s="43" t="n"/>
      <c r="D8" s="43" t="n"/>
      <c r="E8" s="43" t="n"/>
      <c r="F8" s="43" t="n"/>
      <c r="G8" s="43" t="n"/>
      <c r="H8" s="43" t="n"/>
      <c r="I8" s="43" t="n"/>
      <c r="J8" s="47" t="n"/>
    </row>
    <row r="9" ht="55.5" customHeight="1">
      <c r="A9" s="16" t="inlineStr">
        <is>
          <t>Q05</t>
        </is>
      </c>
      <c r="B9" s="43" t="n"/>
      <c r="C9" s="43" t="n"/>
      <c r="D9" s="43" t="n"/>
      <c r="E9" s="43" t="n"/>
      <c r="F9" s="43" t="n"/>
      <c r="G9" s="43" t="n"/>
      <c r="H9" s="43" t="n"/>
      <c r="I9" s="43" t="n"/>
      <c r="J9" s="47" t="n"/>
    </row>
    <row r="10" ht="55.5" customHeight="1">
      <c r="A10" s="16" t="inlineStr">
        <is>
          <t>Q06</t>
        </is>
      </c>
      <c r="B10" s="43" t="n"/>
      <c r="C10" s="43" t="n"/>
      <c r="D10" s="43" t="n"/>
      <c r="E10" s="43" t="n"/>
      <c r="F10" s="43" t="n"/>
      <c r="G10" s="43" t="n"/>
      <c r="H10" s="43" t="n"/>
      <c r="I10" s="43" t="n"/>
      <c r="J10" s="47" t="n"/>
    </row>
    <row r="11" ht="55.5" customHeight="1">
      <c r="A11" s="16" t="inlineStr">
        <is>
          <t>Q07</t>
        </is>
      </c>
      <c r="B11" s="43" t="n"/>
      <c r="C11" s="43" t="n"/>
      <c r="D11" s="43" t="n"/>
      <c r="E11" s="43" t="n"/>
      <c r="F11" s="43" t="n"/>
      <c r="G11" s="43" t="n"/>
      <c r="H11" s="43" t="n"/>
      <c r="I11" s="43" t="n"/>
      <c r="J11" s="47" t="n"/>
    </row>
    <row r="12" ht="55.5" customHeight="1">
      <c r="A12" s="16" t="inlineStr">
        <is>
          <t>Q08</t>
        </is>
      </c>
      <c r="B12" s="43" t="n"/>
      <c r="C12" s="43" t="n"/>
      <c r="D12" s="43" t="n"/>
      <c r="E12" s="43" t="n"/>
      <c r="F12" s="43" t="n"/>
      <c r="G12" s="43" t="n"/>
      <c r="H12" s="43" t="n"/>
      <c r="I12" s="43" t="n"/>
      <c r="J12" s="47" t="n"/>
    </row>
    <row r="13" ht="55.5" customHeight="1">
      <c r="A13" s="16" t="inlineStr">
        <is>
          <t>Q09</t>
        </is>
      </c>
      <c r="B13" s="43" t="n"/>
      <c r="C13" s="43" t="n"/>
      <c r="D13" s="43" t="n"/>
      <c r="E13" s="43" t="n"/>
      <c r="F13" s="43" t="n"/>
      <c r="G13" s="43" t="n"/>
      <c r="H13" s="43" t="n"/>
      <c r="I13" s="43" t="n"/>
      <c r="J13" s="47" t="n"/>
    </row>
    <row r="14" ht="55.5" customHeight="1">
      <c r="A14" s="16" t="inlineStr">
        <is>
          <t>Q10</t>
        </is>
      </c>
      <c r="B14" s="43" t="n"/>
      <c r="C14" s="43" t="n"/>
      <c r="D14" s="43" t="n"/>
      <c r="E14" s="43" t="n"/>
      <c r="F14" s="43" t="n"/>
      <c r="G14" s="43" t="n"/>
      <c r="H14" s="43" t="n"/>
      <c r="I14" s="43" t="n"/>
      <c r="J14" s="47" t="n"/>
    </row>
    <row r="15" ht="55.5" customHeight="1">
      <c r="A15" s="16" t="inlineStr">
        <is>
          <t>Q11</t>
        </is>
      </c>
      <c r="B15" s="43" t="n"/>
      <c r="C15" s="43" t="n"/>
      <c r="D15" s="43" t="n"/>
      <c r="E15" s="43" t="n"/>
      <c r="F15" s="43" t="n"/>
      <c r="G15" s="43" t="n"/>
      <c r="H15" s="43" t="n"/>
      <c r="I15" s="43" t="n"/>
      <c r="J15" s="47" t="n"/>
    </row>
    <row r="16" ht="55.5" customHeight="1">
      <c r="A16" s="16" t="inlineStr">
        <is>
          <t>Q12</t>
        </is>
      </c>
      <c r="B16" s="43" t="n"/>
      <c r="C16" s="43" t="n"/>
      <c r="D16" s="43" t="n"/>
      <c r="E16" s="43" t="n"/>
      <c r="F16" s="43" t="n"/>
      <c r="G16" s="43" t="n"/>
      <c r="H16" s="43" t="n"/>
      <c r="I16" s="43" t="n"/>
      <c r="J16" s="47" t="n"/>
    </row>
    <row r="17" ht="55.5" customHeight="1">
      <c r="A17" s="16" t="inlineStr">
        <is>
          <t>Q13</t>
        </is>
      </c>
      <c r="B17" s="43" t="n"/>
      <c r="C17" s="43" t="n"/>
      <c r="D17" s="43" t="n"/>
      <c r="E17" s="43" t="n"/>
      <c r="F17" s="43" t="n"/>
      <c r="G17" s="43" t="n"/>
      <c r="H17" s="43" t="n"/>
      <c r="I17" s="43" t="n"/>
      <c r="J17" s="47" t="n"/>
    </row>
    <row r="18" ht="55.5" customHeight="1">
      <c r="A18" s="16" t="inlineStr">
        <is>
          <t>Q14</t>
        </is>
      </c>
      <c r="B18" s="43" t="n"/>
      <c r="C18" s="43" t="n"/>
      <c r="D18" s="43" t="n"/>
      <c r="E18" s="43" t="n"/>
      <c r="F18" s="43" t="n"/>
      <c r="G18" s="43" t="n"/>
      <c r="H18" s="43" t="n"/>
      <c r="I18" s="43" t="n"/>
      <c r="J18" s="47" t="n"/>
    </row>
    <row r="19" ht="55.5" customHeight="1">
      <c r="A19" s="16" t="inlineStr">
        <is>
          <t>Q15</t>
        </is>
      </c>
      <c r="B19" s="43" t="n"/>
      <c r="C19" s="43" t="n"/>
      <c r="D19" s="43" t="n"/>
      <c r="E19" s="43" t="n"/>
      <c r="F19" s="43" t="n"/>
      <c r="G19" s="43" t="n"/>
      <c r="H19" s="43" t="n"/>
      <c r="I19" s="43" t="n"/>
      <c r="J19" s="47" t="n"/>
    </row>
    <row r="20" ht="55.5" customHeight="1">
      <c r="A20" s="16" t="inlineStr">
        <is>
          <t>Q16</t>
        </is>
      </c>
      <c r="B20" s="43" t="n"/>
      <c r="C20" s="43" t="n"/>
      <c r="D20" s="43" t="n"/>
      <c r="E20" s="43" t="n"/>
      <c r="F20" s="43" t="n"/>
      <c r="G20" s="43" t="n"/>
      <c r="H20" s="43" t="n"/>
      <c r="I20" s="43" t="n"/>
      <c r="J20" s="47" t="n"/>
    </row>
    <row r="21" ht="55.5" customHeight="1">
      <c r="A21" s="16" t="inlineStr">
        <is>
          <t>Q17</t>
        </is>
      </c>
      <c r="B21" s="43" t="n"/>
      <c r="C21" s="43" t="n"/>
      <c r="D21" s="43" t="n"/>
      <c r="E21" s="43" t="n"/>
      <c r="F21" s="43" t="n"/>
      <c r="G21" s="43" t="n"/>
      <c r="H21" s="43" t="n"/>
      <c r="I21" s="43" t="n"/>
      <c r="J21" s="47" t="n"/>
    </row>
    <row r="22" ht="55.5" customHeight="1">
      <c r="A22" s="16" t="inlineStr">
        <is>
          <t>Q18</t>
        </is>
      </c>
      <c r="B22" s="43" t="n"/>
      <c r="C22" s="43" t="n"/>
      <c r="D22" s="43" t="n"/>
      <c r="E22" s="43" t="n"/>
      <c r="F22" s="43" t="n"/>
      <c r="G22" s="43" t="n"/>
      <c r="H22" s="43" t="n"/>
      <c r="I22" s="43" t="n"/>
      <c r="J22" s="47" t="n"/>
    </row>
    <row r="23" ht="55.5" customHeight="1">
      <c r="A23" s="16" t="inlineStr">
        <is>
          <t>Q19</t>
        </is>
      </c>
      <c r="B23" s="43" t="n"/>
      <c r="C23" s="43" t="n"/>
      <c r="D23" s="43" t="n"/>
      <c r="E23" s="43" t="n"/>
      <c r="F23" s="43" t="n"/>
      <c r="G23" s="43" t="n"/>
      <c r="H23" s="43" t="n"/>
      <c r="I23" s="43" t="n"/>
      <c r="J23" s="47" t="n"/>
    </row>
    <row r="24" ht="55.5" customHeight="1">
      <c r="A24" s="16" t="inlineStr">
        <is>
          <t>Q20</t>
        </is>
      </c>
      <c r="B24" s="43" t="n"/>
      <c r="C24" s="43" t="n"/>
      <c r="D24" s="43" t="n"/>
      <c r="E24" s="43" t="n"/>
      <c r="F24" s="43" t="n"/>
      <c r="G24" s="43" t="n"/>
      <c r="H24" s="43" t="n"/>
      <c r="I24" s="43" t="n"/>
      <c r="J24" s="47" t="n"/>
    </row>
    <row r="25" ht="55.5" customHeight="1">
      <c r="A25" s="16" t="inlineStr">
        <is>
          <t>Q21</t>
        </is>
      </c>
      <c r="B25" s="43" t="n"/>
      <c r="C25" s="43" t="n"/>
      <c r="D25" s="43" t="n"/>
      <c r="E25" s="43" t="n"/>
      <c r="F25" s="43" t="n"/>
      <c r="G25" s="43" t="n"/>
      <c r="H25" s="43" t="n"/>
      <c r="I25" s="43" t="n"/>
      <c r="J25" s="47" t="n"/>
    </row>
    <row r="26" ht="55.5" customHeight="1">
      <c r="A26" s="16" t="inlineStr">
        <is>
          <t>Q22</t>
        </is>
      </c>
      <c r="B26" s="43" t="n"/>
      <c r="C26" s="43" t="n"/>
      <c r="D26" s="43" t="n"/>
      <c r="E26" s="43" t="n"/>
      <c r="F26" s="43" t="n"/>
      <c r="G26" s="43" t="n"/>
      <c r="H26" s="43" t="n"/>
      <c r="I26" s="43" t="n"/>
      <c r="J26" s="47" t="n"/>
    </row>
    <row r="27" ht="55.5" customHeight="1">
      <c r="A27" s="16" t="inlineStr">
        <is>
          <t>Q23</t>
        </is>
      </c>
      <c r="B27" s="43" t="n"/>
      <c r="C27" s="43" t="n"/>
      <c r="D27" s="43" t="n"/>
      <c r="E27" s="43" t="n"/>
      <c r="F27" s="43" t="n"/>
      <c r="G27" s="43" t="n"/>
      <c r="H27" s="43" t="n"/>
      <c r="I27" s="43" t="n"/>
      <c r="J27" s="47" t="n"/>
    </row>
    <row r="28" ht="55.5" customHeight="1">
      <c r="A28" s="16" t="inlineStr">
        <is>
          <t>Q24</t>
        </is>
      </c>
      <c r="B28" s="43" t="n"/>
      <c r="C28" s="43" t="n"/>
      <c r="D28" s="43" t="n"/>
      <c r="E28" s="43" t="n"/>
      <c r="F28" s="43" t="n"/>
      <c r="G28" s="43" t="n"/>
      <c r="H28" s="43" t="n"/>
      <c r="I28" s="43" t="n"/>
      <c r="J28" s="47" t="n"/>
    </row>
    <row r="29" ht="55.5" customHeight="1">
      <c r="A29" s="16" t="inlineStr">
        <is>
          <t>Q25</t>
        </is>
      </c>
      <c r="B29" s="43" t="n"/>
      <c r="C29" s="43" t="n"/>
      <c r="D29" s="43" t="n"/>
      <c r="E29" s="43" t="n"/>
      <c r="F29" s="43" t="n"/>
      <c r="G29" s="43" t="n"/>
      <c r="H29" s="43" t="n"/>
      <c r="I29" s="43" t="n"/>
      <c r="J29" s="47" t="n"/>
    </row>
    <row r="31">
      <c r="C31" s="9" t="inlineStr">
        <is>
          <t>Questions written</t>
        </is>
      </c>
      <c r="D31" s="45">
        <f>COUNTA(D5:D29)</f>
        <v/>
      </c>
    </row>
    <row r="32">
      <c r="C32" s="9" t="inlineStr">
        <is>
          <t>Questions linked to a requirement</t>
        </is>
      </c>
      <c r="D32" s="45">
        <f>COUNTA(H5:H29)</f>
        <v/>
      </c>
    </row>
    <row r="33">
      <c r="C33" s="9" t="inlineStr">
        <is>
          <t>Areas covered</t>
        </is>
      </c>
      <c r="D33" s="17">
        <f>SUMPRODUCT((B5:B29&lt;&gt;"")/COUNTIF(B5:B29,B5:B29&amp;""))</f>
        <v/>
      </c>
    </row>
    <row r="35">
      <c r="A35" s="14" t="inlineStr">
        <is>
          <t>Strong Q&amp;A uncovers hidden complexity (timeouts, declined payments, refunds, printer or paper out, offline mode, fares). Aim for several different areas, not many questions on one topic.</t>
        </is>
      </c>
    </row>
  </sheetData>
  <dataValidations count="3">
    <dataValidation sqref="B8:B29" showDropDown="0" showInputMessage="0" showErrorMessage="1" allowBlank="1" error="Choose a value from the list." type="list">
      <formula1>"Payment,Ticket and fares,Hardware,Failure handling,Security,Performance and reliability,Users and accessibility,Integration,Other"</formula1>
      <formula2>0</formula2>
    </dataValidation>
    <dataValidation sqref="E8:E29" showDropDown="0" showInputMessage="0" showErrorMessage="1" allowBlank="1" error="Choose a value from the list." type="list">
      <formula1>"Passenger,Operator,Bank / payment gateway,Maintenance,Transport authority,Other"</formula1>
      <formula2>0</formula2>
    </dataValidation>
    <dataValidation sqref="I8:I29" showDropDown="0" showInputMessage="0" showErrorMessage="1" allowBlank="1" error="Choose a value from the list." type="list">
      <formula1>"Draft,Final"</formula1>
      <formula2>0</formula2>
    </dataValidation>
  </dataValidation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I16"/>
  <sheetViews>
    <sheetView showGridLines="0" zoomScaleNormal="100" workbookViewId="0">
      <pane xSplit="1" ySplit="4" topLeftCell="B5" activePane="bottomRight" state="frozen"/>
      <selection pane="topRight" activeCell="B1" sqref="B1"/>
      <selection pane="bottomLeft" activeCell="A5" sqref="A5"/>
      <selection pane="bottomRight" activeCell="G13" sqref="G13"/>
    </sheetView>
  </sheetViews>
  <sheetFormatPr baseColWidth="8" defaultColWidth="8.7109375" defaultRowHeight="15"/>
  <cols>
    <col width="9" customWidth="1" min="1" max="1"/>
    <col width="32" customWidth="1" min="2" max="2"/>
    <col width="22" customWidth="1" min="3" max="3"/>
    <col width="26.42578125" customWidth="1" min="4" max="4"/>
    <col width="31" customWidth="1" min="5" max="5"/>
    <col width="14" customWidth="1" min="6" max="7"/>
    <col width="12" customWidth="1" min="8" max="8"/>
    <col width="26" customWidth="1" min="9" max="9"/>
  </cols>
  <sheetData>
    <row r="1" ht="19.5" customHeight="1">
      <c r="A1" s="1" t="inlineStr">
        <is>
          <t>Use Case Register (Task 3)</t>
        </is>
      </c>
    </row>
    <row r="2">
      <c r="A2" s="2" t="inlineStr">
        <is>
          <t>One row per use case. Each needs a full description and appears in the use case diagram.</t>
        </is>
      </c>
    </row>
    <row r="4" ht="33.75" customHeight="1">
      <c r="A4" s="7" t="inlineStr">
        <is>
          <t>ID</t>
        </is>
      </c>
      <c r="B4" s="11" t="inlineStr">
        <is>
          <t>Use case</t>
        </is>
      </c>
      <c r="C4" s="11" t="inlineStr">
        <is>
          <t>Primary actor</t>
        </is>
      </c>
      <c r="D4" s="11" t="inlineStr">
        <is>
          <t>Short description</t>
        </is>
      </c>
      <c r="E4" s="11" t="inlineStr">
        <is>
          <t>Requirement IDs</t>
        </is>
      </c>
      <c r="F4" s="11" t="inlineStr">
        <is>
          <t>Description written?</t>
        </is>
      </c>
      <c r="G4" s="11" t="inlineStr">
        <is>
          <t>In activity / sequence diagram?</t>
        </is>
      </c>
      <c r="H4" s="11" t="inlineStr">
        <is>
          <t>Owner (ID)</t>
        </is>
      </c>
      <c r="I4" s="15" t="inlineStr">
        <is>
          <t>Lecturer comment</t>
        </is>
      </c>
    </row>
    <row r="5" ht="30" customHeight="1">
      <c r="A5" s="16" t="inlineStr">
        <is>
          <t>UC01</t>
        </is>
      </c>
      <c r="B5" s="43" t="inlineStr">
        <is>
          <t>Buy a Ticket</t>
        </is>
      </c>
      <c r="C5" s="43" t="inlineStr">
        <is>
          <t>Passenger</t>
        </is>
      </c>
      <c r="D5" s="43" t="inlineStr">
        <is>
          <t>Select destination, quantity, payment method, and issue ticket.</t>
        </is>
      </c>
      <c r="E5" s="43" t="inlineStr">
        <is>
          <t>FR1, FR2, FR3</t>
        </is>
      </c>
      <c r="F5" s="43" t="inlineStr">
        <is>
          <t>Yes</t>
        </is>
      </c>
      <c r="G5" s="43" t="inlineStr">
        <is>
          <t>Yes</t>
        </is>
      </c>
      <c r="H5" s="43" t="inlineStr">
        <is>
          <t>524H0057</t>
        </is>
      </c>
      <c r="I5" s="47" t="n"/>
    </row>
    <row r="6" ht="30" customHeight="1">
      <c r="A6" s="16" t="inlineStr">
        <is>
          <t>UC02</t>
        </is>
      </c>
      <c r="B6" s="43" t="inlineStr">
        <is>
          <t>Pay via Credit Card</t>
        </is>
      </c>
      <c r="C6" s="43" t="inlineStr">
        <is>
          <t>Passenger</t>
        </is>
      </c>
      <c r="D6" s="43" t="inlineStr">
        <is>
          <t>Process contactless/chip credit card payment via Payment Gateway.</t>
        </is>
      </c>
      <c r="E6" s="43" t="inlineStr">
        <is>
          <t>FR3, FR5</t>
        </is>
      </c>
      <c r="F6" s="43" t="inlineStr">
        <is>
          <t>Yes</t>
        </is>
      </c>
      <c r="G6" s="43" t="inlineStr">
        <is>
          <t>Yes</t>
        </is>
      </c>
      <c r="H6" s="43" t="inlineStr">
        <is>
          <t>524H0057</t>
        </is>
      </c>
      <c r="I6" s="47" t="n"/>
    </row>
    <row r="7" ht="30" customHeight="1">
      <c r="A7" s="16" t="inlineStr">
        <is>
          <t>UC03</t>
        </is>
      </c>
      <c r="B7" s="43" t="inlineStr">
        <is>
          <t>Pay via QR Code</t>
        </is>
      </c>
      <c r="C7" s="43" t="inlineStr">
        <is>
          <t>Passenger</t>
        </is>
      </c>
      <c r="D7" s="43" t="inlineStr">
        <is>
          <t>Generate dynamic QR code and process e-wallet payment with 60s timeout.</t>
        </is>
      </c>
      <c r="E7" s="43" t="inlineStr">
        <is>
          <t>FR3, FR4, FR5</t>
        </is>
      </c>
      <c r="F7" s="43" t="inlineStr">
        <is>
          <t>Yes</t>
        </is>
      </c>
      <c r="G7" s="43" t="inlineStr">
        <is>
          <t>Yes</t>
        </is>
      </c>
      <c r="H7" s="43" t="inlineStr">
        <is>
          <t>524H0057</t>
        </is>
      </c>
      <c r="I7" s="47" t="n"/>
    </row>
    <row r="8" ht="30" customHeight="1">
      <c r="A8" s="16" t="inlineStr">
        <is>
          <t>UC04</t>
        </is>
      </c>
      <c r="B8" s="43" t="inlineStr">
        <is>
          <t>Print Ticket</t>
        </is>
      </c>
      <c r="C8" s="43" t="inlineStr">
        <is>
          <t>Ticket Printer</t>
        </is>
      </c>
      <c r="D8" s="43" t="inlineStr">
        <is>
          <t>Issue physical barcode ticket upon successful payment confirmation.</t>
        </is>
      </c>
      <c r="E8" s="43" t="inlineStr">
        <is>
          <t>FR6</t>
        </is>
      </c>
      <c r="F8" s="43" t="inlineStr">
        <is>
          <t>Yes</t>
        </is>
      </c>
      <c r="G8" s="43" t="inlineStr">
        <is>
          <t>Yes</t>
        </is>
      </c>
      <c r="H8" s="43" t="inlineStr">
        <is>
          <t>524H0057</t>
        </is>
      </c>
      <c r="I8" s="47" t="n"/>
    </row>
    <row r="9" ht="30" customHeight="1">
      <c r="A9" s="16" t="inlineStr">
        <is>
          <t>UC05</t>
        </is>
      </c>
      <c r="B9" s="43" t="inlineStr">
        <is>
          <t>Cancel Transaction</t>
        </is>
      </c>
      <c r="C9" s="43" t="inlineStr">
        <is>
          <t>Passenger</t>
        </is>
      </c>
      <c r="D9" s="43" t="inlineStr">
        <is>
          <t>Abort active transaction at any stage and reset TVM to home state.</t>
        </is>
      </c>
      <c r="E9" s="43" t="inlineStr">
        <is>
          <t>FR7</t>
        </is>
      </c>
      <c r="F9" s="43" t="inlineStr">
        <is>
          <t>Yes</t>
        </is>
      </c>
      <c r="G9" s="43" t="inlineStr">
        <is>
          <t>Yes</t>
        </is>
      </c>
      <c r="H9" s="43" t="inlineStr">
        <is>
          <t>524H0057</t>
        </is>
      </c>
      <c r="I9" s="47" t="n"/>
    </row>
    <row r="10" ht="30" customHeight="1">
      <c r="A10" s="16" t="inlineStr">
        <is>
          <t>UC06</t>
        </is>
      </c>
      <c r="B10" s="43" t="n"/>
      <c r="C10" s="43" t="n"/>
      <c r="D10" s="43" t="n"/>
      <c r="E10" s="43" t="n"/>
      <c r="F10" s="43" t="n"/>
      <c r="G10" s="43" t="n"/>
      <c r="H10" s="43" t="n"/>
      <c r="I10" s="47" t="n"/>
    </row>
    <row r="11" ht="30" customHeight="1">
      <c r="A11" s="16" t="inlineStr">
        <is>
          <t>UC07</t>
        </is>
      </c>
      <c r="B11" s="43" t="n"/>
      <c r="C11" s="43" t="n"/>
      <c r="D11" s="43" t="n"/>
      <c r="E11" s="43" t="n"/>
      <c r="F11" s="43" t="n"/>
      <c r="G11" s="43" t="n"/>
      <c r="H11" s="43" t="n"/>
      <c r="I11" s="47" t="n"/>
    </row>
    <row r="12" ht="30" customHeight="1">
      <c r="A12" s="16" t="inlineStr">
        <is>
          <t>UC08</t>
        </is>
      </c>
      <c r="B12" s="43" t="n"/>
      <c r="C12" s="43" t="n"/>
      <c r="D12" s="43" t="n"/>
      <c r="E12" s="43" t="n"/>
      <c r="F12" s="43" t="n"/>
      <c r="G12" s="43" t="n"/>
      <c r="H12" s="43" t="n"/>
      <c r="I12" s="47" t="n"/>
    </row>
    <row r="13" ht="30" customHeight="1">
      <c r="A13" s="16" t="inlineStr">
        <is>
          <t>UC09</t>
        </is>
      </c>
      <c r="B13" s="43" t="n"/>
      <c r="C13" s="43" t="n"/>
      <c r="D13" s="43" t="n"/>
      <c r="E13" s="43" t="n"/>
      <c r="F13" s="43" t="n"/>
      <c r="G13" s="43" t="n"/>
      <c r="H13" s="43" t="n"/>
      <c r="I13" s="47" t="n"/>
    </row>
    <row r="14" ht="30" customHeight="1">
      <c r="A14" s="16" t="inlineStr">
        <is>
          <t>UC10</t>
        </is>
      </c>
      <c r="B14" s="43" t="n"/>
      <c r="C14" s="43" t="n"/>
      <c r="D14" s="43" t="n"/>
      <c r="E14" s="43" t="n"/>
      <c r="F14" s="43" t="n"/>
      <c r="G14" s="43" t="n"/>
      <c r="H14" s="43" t="n"/>
      <c r="I14" s="47" t="n"/>
    </row>
    <row r="15" ht="30" customHeight="1">
      <c r="A15" s="16" t="inlineStr">
        <is>
          <t>UC11</t>
        </is>
      </c>
      <c r="B15" s="43" t="n"/>
      <c r="C15" s="43" t="n"/>
      <c r="D15" s="43" t="n"/>
      <c r="E15" s="43" t="n"/>
      <c r="F15" s="43" t="n"/>
      <c r="G15" s="43" t="n"/>
      <c r="H15" s="43" t="n"/>
      <c r="I15" s="47" t="n"/>
    </row>
    <row r="16" ht="30" customHeight="1">
      <c r="A16" s="16" t="inlineStr">
        <is>
          <t>UC12</t>
        </is>
      </c>
      <c r="B16" s="43" t="n"/>
      <c r="C16" s="43" t="n"/>
      <c r="D16" s="43" t="n"/>
      <c r="E16" s="43" t="n"/>
      <c r="F16" s="43" t="n"/>
      <c r="G16" s="43" t="n"/>
      <c r="H16" s="43" t="n"/>
      <c r="I16" s="47" t="n"/>
    </row>
  </sheetData>
  <dataValidations count="2">
    <dataValidation sqref="F10:F16" showDropDown="0" showInputMessage="0" showErrorMessage="1" allowBlank="1" error="Choose a value from the list." type="list">
      <formula1>"Yes,Partly,No"</formula1>
      <formula2>0</formula2>
    </dataValidation>
    <dataValidation sqref="G10:G16" showDropDown="0" showInputMessage="0" showErrorMessage="1" allowBlank="1" error="Choose a value from the list." type="list">
      <formula1>"Yes,No,N/A"</formula1>
      <formula2>0</formula2>
    </dataValidation>
  </dataValidations>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I32"/>
  <sheetViews>
    <sheetView showGridLines="0" zoomScaleNormal="100" workbookViewId="0">
      <pane xSplit="2" ySplit="4" topLeftCell="C5" activePane="bottomRight" state="frozen"/>
      <selection pane="topRight" activeCell="C1" sqref="C1"/>
      <selection pane="bottomLeft" activeCell="A5" sqref="A5"/>
      <selection pane="bottomRight" activeCell="G12" sqref="G12"/>
    </sheetView>
  </sheetViews>
  <sheetFormatPr baseColWidth="8" defaultColWidth="8.7109375" defaultRowHeight="15"/>
  <cols>
    <col width="7" customWidth="1" min="1" max="1"/>
    <col width="40" customWidth="1" min="2" max="2"/>
    <col width="10" customWidth="1" min="3" max="3"/>
    <col width="22" customWidth="1" min="4" max="4"/>
    <col width="12" customWidth="1" min="5" max="5"/>
    <col width="34" customWidth="1" min="6" max="6"/>
    <col width="14" customWidth="1" min="7" max="7"/>
    <col width="12" customWidth="1" min="8" max="8"/>
    <col width="26" customWidth="1" min="9" max="9"/>
  </cols>
  <sheetData>
    <row r="1" ht="19.5" customHeight="1">
      <c r="A1" s="1" t="inlineStr">
        <is>
          <t>Artifact Tracker</t>
        </is>
      </c>
    </row>
    <row r="2">
      <c r="A2" s="2" t="inlineStr">
        <is>
          <t>Track every deliverable. Percent complete is calculated from the status.</t>
        </is>
      </c>
    </row>
    <row r="4" ht="33.75" customHeight="1">
      <c r="A4" s="7" t="inlineStr">
        <is>
          <t>Task</t>
        </is>
      </c>
      <c r="B4" s="7" t="inlineStr">
        <is>
          <t>Artifact</t>
        </is>
      </c>
      <c r="C4" s="7" t="inlineStr">
        <is>
          <t>Marks</t>
        </is>
      </c>
      <c r="D4" s="11" t="inlineStr">
        <is>
          <t>Tool</t>
        </is>
      </c>
      <c r="E4" s="11" t="inlineStr">
        <is>
          <t>Owner (ID)</t>
        </is>
      </c>
      <c r="F4" s="11" t="inlineStr">
        <is>
          <t>File / link</t>
        </is>
      </c>
      <c r="G4" s="11" t="inlineStr">
        <is>
          <t>Status</t>
        </is>
      </c>
      <c r="H4" s="7" t="inlineStr">
        <is>
          <t>% complete</t>
        </is>
      </c>
      <c r="I4" s="15" t="inlineStr">
        <is>
          <t>Lecturer comment</t>
        </is>
      </c>
    </row>
    <row r="5" ht="25.5" customHeight="1">
      <c r="A5" s="18" t="inlineStr">
        <is>
          <t>1</t>
        </is>
      </c>
      <c r="B5" s="46" t="inlineStr">
        <is>
          <t>Clarification Q&amp;A (Excel)</t>
        </is>
      </c>
      <c r="C5" s="45" t="n">
        <v>5</v>
      </c>
      <c r="D5" s="43" t="inlineStr">
        <is>
          <t>Excel</t>
        </is>
      </c>
      <c r="E5" s="43" t="inlineStr">
        <is>
          <t>524H0057</t>
        </is>
      </c>
      <c r="F5" s="43" t="inlineStr">
        <is>
          <t>Section 2.1</t>
        </is>
      </c>
      <c r="G5" s="43" t="inlineStr">
        <is>
          <t>Done</t>
        </is>
      </c>
      <c r="H5" s="19">
        <f>IF(G5="","",IF(G5="Done",1,IF(G5="In review",0.75,IF(G5="Draft",0.4,0))))</f>
        <v/>
      </c>
      <c r="I5" s="47" t="n"/>
    </row>
    <row r="6" ht="25.5" customHeight="1">
      <c r="A6" s="18" t="inlineStr">
        <is>
          <t>2</t>
        </is>
      </c>
      <c r="B6" s="46" t="inlineStr">
        <is>
          <t>Requirements Specification</t>
        </is>
      </c>
      <c r="C6" s="45" t="n">
        <v>15</v>
      </c>
      <c r="D6" s="43" t="inlineStr">
        <is>
          <t>Word</t>
        </is>
      </c>
      <c r="E6" s="43" t="inlineStr">
        <is>
          <t>524H0057</t>
        </is>
      </c>
      <c r="F6" s="43" t="inlineStr">
        <is>
          <t>Section 2.2</t>
        </is>
      </c>
      <c r="G6" s="43" t="inlineStr">
        <is>
          <t>Done</t>
        </is>
      </c>
      <c r="H6" s="19">
        <f>IF(G6="","",IF(G6="Done",1,IF(G6="In review",0.75,IF(G6="Draft",0.4,0))))</f>
        <v/>
      </c>
      <c r="I6" s="47" t="n"/>
    </row>
    <row r="7" ht="25.5" customHeight="1">
      <c r="A7" s="18" t="inlineStr">
        <is>
          <t>3</t>
        </is>
      </c>
      <c r="B7" s="46" t="inlineStr">
        <is>
          <t>Use case diagram</t>
        </is>
      </c>
      <c r="C7" s="45" t="n">
        <v>5</v>
      </c>
      <c r="D7" s="43" t="n"/>
      <c r="E7" s="43" t="n"/>
      <c r="F7" s="43" t="n"/>
      <c r="G7" s="43" t="n"/>
      <c r="H7" s="19">
        <f>IF(G7="","",IF(G7="Done",1,IF(G7="In review",0.75,IF(G7="Draft",0.4,0))))</f>
        <v/>
      </c>
      <c r="I7" s="47" t="n"/>
    </row>
    <row r="8" ht="25.5" customHeight="1">
      <c r="A8" s="18" t="inlineStr">
        <is>
          <t>3</t>
        </is>
      </c>
      <c r="B8" s="46" t="inlineStr">
        <is>
          <t>Use case descriptions</t>
        </is>
      </c>
      <c r="C8" s="45" t="n">
        <v>5</v>
      </c>
      <c r="D8" s="43" t="inlineStr">
        <is>
          <t>Word</t>
        </is>
      </c>
      <c r="E8" s="43" t="inlineStr">
        <is>
          <t>524H0057</t>
        </is>
      </c>
      <c r="F8" s="43" t="inlineStr">
        <is>
          <t>Section 3.1.3</t>
        </is>
      </c>
      <c r="G8" s="43" t="inlineStr">
        <is>
          <t>Done</t>
        </is>
      </c>
      <c r="H8" s="19">
        <f>IF(G8="","",IF(G8="Done",1,IF(G8="In review",0.75,IF(G8="Draft",0.4,0))))</f>
        <v/>
      </c>
      <c r="I8" s="47" t="n"/>
    </row>
    <row r="9" ht="25.5" customHeight="1">
      <c r="A9" s="18" t="inlineStr">
        <is>
          <t>4</t>
        </is>
      </c>
      <c r="B9" s="46" t="inlineStr">
        <is>
          <t>Activity diagram: buy a ticket</t>
        </is>
      </c>
      <c r="C9" s="45" t="n">
        <v>5</v>
      </c>
      <c r="D9" s="43" t="n"/>
      <c r="E9" s="43" t="n"/>
      <c r="F9" s="43" t="n"/>
      <c r="G9" s="43" t="n"/>
      <c r="H9" s="19">
        <f>IF(G9="","",IF(G9="Done",1,IF(G9="In review",0.75,IF(G9="Draft",0.4,0))))</f>
        <v/>
      </c>
      <c r="I9" s="47" t="n"/>
    </row>
    <row r="10" ht="25.5" customHeight="1">
      <c r="A10" s="18" t="inlineStr">
        <is>
          <t>4</t>
        </is>
      </c>
      <c r="B10" s="46" t="inlineStr">
        <is>
          <t>Activity diagram: payment gateways</t>
        </is>
      </c>
      <c r="C10" s="45" t="n">
        <v>5</v>
      </c>
      <c r="D10" s="43" t="n"/>
      <c r="E10" s="43" t="n"/>
      <c r="F10" s="43" t="n"/>
      <c r="G10" s="43" t="n"/>
      <c r="H10" s="19">
        <f>IF(G10="","",IF(G10="Done",1,IF(G10="In review",0.75,IF(G10="Draft",0.4,0))))</f>
        <v/>
      </c>
      <c r="I10" s="47" t="n"/>
    </row>
    <row r="11" ht="25.5" customHeight="1">
      <c r="A11" s="18" t="inlineStr">
        <is>
          <t>5</t>
        </is>
      </c>
      <c r="B11" s="46" t="inlineStr">
        <is>
          <t>Sequence diagram</t>
        </is>
      </c>
      <c r="C11" s="45" t="n">
        <v>5</v>
      </c>
      <c r="D11" s="43" t="n"/>
      <c r="E11" s="43" t="n"/>
      <c r="F11" s="43" t="n"/>
      <c r="G11" s="43" t="n"/>
      <c r="H11" s="19">
        <f>IF(G11="","",IF(G11="Done",1,IF(G11="In review",0.75,IF(G11="Draft",0.4,0))))</f>
        <v/>
      </c>
      <c r="I11" s="47" t="n"/>
    </row>
    <row r="12" ht="25.5" customHeight="1">
      <c r="A12" s="18" t="inlineStr">
        <is>
          <t>5</t>
        </is>
      </c>
      <c r="B12" s="46" t="inlineStr">
        <is>
          <t>State chart diagram</t>
        </is>
      </c>
      <c r="C12" s="45" t="n">
        <v>5</v>
      </c>
      <c r="D12" s="43" t="n"/>
      <c r="E12" s="43" t="n"/>
      <c r="F12" s="43" t="n"/>
      <c r="G12" s="43" t="n"/>
      <c r="H12" s="19">
        <f>IF(G12="","",IF(G12="Done",1,IF(G12="In review",0.75,IF(G12="Draft",0.4,0))))</f>
        <v/>
      </c>
      <c r="I12" s="47" t="n"/>
    </row>
    <row r="13" ht="25.5" customHeight="1">
      <c r="A13" s="18" t="inlineStr">
        <is>
          <t>5</t>
        </is>
      </c>
      <c r="B13" s="46" t="inlineStr">
        <is>
          <t>Class diagram</t>
        </is>
      </c>
      <c r="C13" s="45" t="n">
        <v>5</v>
      </c>
      <c r="D13" s="43" t="n"/>
      <c r="E13" s="43" t="n"/>
      <c r="F13" s="43" t="n"/>
      <c r="G13" s="43" t="n"/>
      <c r="H13" s="19">
        <f>IF(G13="","",IF(G13="Done",1,IF(G13="In review",0.75,IF(G13="Draft",0.4,0))))</f>
        <v/>
      </c>
      <c r="I13" s="47" t="n"/>
    </row>
    <row r="14" ht="25.5" customHeight="1">
      <c r="A14" s="18" t="inlineStr">
        <is>
          <t>6</t>
        </is>
      </c>
      <c r="B14" s="46" t="inlineStr">
        <is>
          <t>UI/UX wireframes or mockups</t>
        </is>
      </c>
      <c r="C14" s="45" t="n">
        <v>5</v>
      </c>
      <c r="D14" s="43" t="n"/>
      <c r="E14" s="43" t="n"/>
      <c r="F14" s="43" t="n"/>
      <c r="G14" s="43" t="n"/>
      <c r="H14" s="19">
        <f>IF(G14="","",IF(G14="Done",1,IF(G14="In review",0.75,IF(G14="Draft",0.4,0))))</f>
        <v/>
      </c>
      <c r="I14" s="47" t="n"/>
    </row>
    <row r="15" ht="25.5" customHeight="1">
      <c r="A15" s="18" t="inlineStr">
        <is>
          <t>7</t>
        </is>
      </c>
      <c r="B15" s="46" t="inlineStr">
        <is>
          <t>Architecture diagram</t>
        </is>
      </c>
      <c r="C15" s="45" t="n">
        <v>5</v>
      </c>
      <c r="D15" s="43" t="n"/>
      <c r="E15" s="43" t="n"/>
      <c r="F15" s="43" t="n"/>
      <c r="G15" s="43" t="n"/>
      <c r="H15" s="19">
        <f>IF(G15="","",IF(G15="Done",1,IF(G15="In review",0.75,IF(G15="Draft",0.4,0))))</f>
        <v/>
      </c>
      <c r="I15" s="47" t="n"/>
    </row>
    <row r="16" ht="25.5" customHeight="1">
      <c r="A16" s="18" t="inlineStr">
        <is>
          <t>7</t>
        </is>
      </c>
      <c r="B16" s="46" t="inlineStr">
        <is>
          <t>Deployment diagram</t>
        </is>
      </c>
      <c r="C16" s="45" t="n">
        <v>5</v>
      </c>
      <c r="D16" s="43" t="n"/>
      <c r="E16" s="43" t="n"/>
      <c r="F16" s="43" t="n"/>
      <c r="G16" s="43" t="n"/>
      <c r="H16" s="19">
        <f>IF(G16="","",IF(G16="Done",1,IF(G16="In review",0.75,IF(G16="Draft",0.4,0))))</f>
        <v/>
      </c>
      <c r="I16" s="47" t="n"/>
    </row>
    <row r="17" ht="25.5" customHeight="1">
      <c r="A17" s="18" t="inlineStr">
        <is>
          <t>8</t>
        </is>
      </c>
      <c r="B17" s="46" t="inlineStr">
        <is>
          <t>VS forward engineering (model to code)</t>
        </is>
      </c>
      <c r="C17" s="45" t="n">
        <v>4</v>
      </c>
      <c r="D17" s="43" t="n"/>
      <c r="E17" s="43" t="n"/>
      <c r="F17" s="43" t="n"/>
      <c r="G17" s="43" t="n"/>
      <c r="H17" s="19">
        <f>IF(G17="","",IF(G17="Done",1,IF(G17="In review",0.75,IF(G17="Draft",0.4,0))))</f>
        <v/>
      </c>
      <c r="I17" s="47" t="n"/>
    </row>
    <row r="18" ht="25.5" customHeight="1">
      <c r="A18" s="18" t="inlineStr">
        <is>
          <t>8</t>
        </is>
      </c>
      <c r="B18" s="46" t="inlineStr">
        <is>
          <t>VS backward engineering (code to model)</t>
        </is>
      </c>
      <c r="C18" s="45" t="n">
        <v>3</v>
      </c>
      <c r="D18" s="43" t="n"/>
      <c r="E18" s="43" t="n"/>
      <c r="F18" s="43" t="n"/>
      <c r="G18" s="43" t="n"/>
      <c r="H18" s="19">
        <f>IF(G18="","",IF(G18="Done",1,IF(G18="In review",0.75,IF(G18="Draft",0.4,0))))</f>
        <v/>
      </c>
      <c r="I18" s="47" t="n"/>
    </row>
    <row r="19" ht="25.5" customHeight="1">
      <c r="A19" s="18" t="inlineStr">
        <is>
          <t>8</t>
        </is>
      </c>
      <c r="B19" s="46" t="inlineStr">
        <is>
          <t>VS Code Map</t>
        </is>
      </c>
      <c r="C19" s="45" t="n">
        <v>3</v>
      </c>
      <c r="D19" s="43" t="n"/>
      <c r="E19" s="43" t="n"/>
      <c r="F19" s="43" t="n"/>
      <c r="G19" s="43" t="n"/>
      <c r="H19" s="19">
        <f>IF(G19="","",IF(G19="Done",1,IF(G19="In review",0.75,IF(G19="Draft",0.4,0))))</f>
        <v/>
      </c>
      <c r="I19" s="47" t="n"/>
    </row>
    <row r="20" ht="25.5" customHeight="1">
      <c r="A20" s="18" t="inlineStr">
        <is>
          <t>9</t>
        </is>
      </c>
      <c r="B20" s="46" t="inlineStr">
        <is>
          <t>GitHub repository with collaboration history</t>
        </is>
      </c>
      <c r="C20" s="45" t="n">
        <v>5</v>
      </c>
      <c r="D20" s="43" t="inlineStr">
        <is>
          <t>Git</t>
        </is>
      </c>
      <c r="E20" s="43" t="inlineStr">
        <is>
          <t>524H0057</t>
        </is>
      </c>
      <c r="F20" s="43" t="inlineStr">
        <is>
          <t>[https://github.com/seuquay56/SmartTicketingSystem_TVM](https://github.com/seuquay56/SmartTicketingSystem_TVM)</t>
        </is>
      </c>
      <c r="G20" s="43" t="inlineStr">
        <is>
          <t>Done</t>
        </is>
      </c>
      <c r="H20" s="19">
        <f>IF(G20="","",IF(G20="Done",1,IF(G20="In review",0.75,IF(G20="Draft",0.4,0))))</f>
        <v/>
      </c>
      <c r="I20" s="47" t="n"/>
    </row>
    <row r="21" ht="25.5" customHeight="1">
      <c r="A21" s="18" t="inlineStr">
        <is>
          <t>9</t>
        </is>
      </c>
      <c r="B21" s="46" t="inlineStr">
        <is>
          <t>Copilot prompt documentation</t>
        </is>
      </c>
      <c r="C21" s="45" t="n">
        <v>5</v>
      </c>
      <c r="D21" s="43" t="inlineStr">
        <is>
          <t>Gemini / ChatGPT</t>
        </is>
      </c>
      <c r="E21" s="43" t="inlineStr">
        <is>
          <t>524H0057</t>
        </is>
      </c>
      <c r="F21" s="43" t="inlineStr">
        <is>
          <t>Section 5.2.2</t>
        </is>
      </c>
      <c r="G21" s="43" t="inlineStr">
        <is>
          <t>Done</t>
        </is>
      </c>
      <c r="H21" s="19">
        <f>IF(G21="","",IF(G21="Done",1,IF(G21="In review",0.75,IF(G21="Draft",0.4,0))))</f>
        <v/>
      </c>
      <c r="I21" s="47" t="n"/>
    </row>
    <row r="22" ht="25.5" customHeight="1">
      <c r="A22" s="18" t="inlineStr">
        <is>
          <t>10</t>
        </is>
      </c>
      <c r="B22" s="46" t="inlineStr">
        <is>
          <t>Demo: C# and MSSQL input form</t>
        </is>
      </c>
      <c r="C22" s="45" t="n">
        <v>4</v>
      </c>
      <c r="D22" s="43" t="n"/>
      <c r="E22" s="43" t="n"/>
      <c r="F22" s="43" t="n"/>
      <c r="G22" s="43" t="n"/>
      <c r="H22" s="19">
        <f>IF(G22="","",IF(G22="Done",1,IF(G22="In review",0.75,IF(G22="Draft",0.4,0))))</f>
        <v/>
      </c>
      <c r="I22" s="47" t="n"/>
    </row>
    <row r="23" ht="25.5" customHeight="1">
      <c r="A23" s="18" t="inlineStr">
        <is>
          <t>10</t>
        </is>
      </c>
      <c r="B23" s="46" t="inlineStr">
        <is>
          <t>Demo: output report or success screen</t>
        </is>
      </c>
      <c r="C23" s="45" t="n">
        <v>3</v>
      </c>
      <c r="D23" s="43" t="n"/>
      <c r="E23" s="43" t="n"/>
      <c r="F23" s="43" t="n"/>
      <c r="G23" s="43" t="n"/>
      <c r="H23" s="19">
        <f>IF(G23="","",IF(G23="Done",1,IF(G23="In review",0.75,IF(G23="Draft",0.4,0))))</f>
        <v/>
      </c>
      <c r="I23" s="47" t="n"/>
    </row>
    <row r="24" ht="25.5" customHeight="1">
      <c r="A24" s="18" t="inlineStr">
        <is>
          <t>10</t>
        </is>
      </c>
      <c r="B24" s="46" t="inlineStr">
        <is>
          <t>Demo: database script and run instructions</t>
        </is>
      </c>
      <c r="C24" s="45" t="n">
        <v>3</v>
      </c>
      <c r="D24" s="43" t="n"/>
      <c r="E24" s="43" t="n"/>
      <c r="F24" s="43" t="n"/>
      <c r="G24" s="43" t="n"/>
      <c r="H24" s="19">
        <f>IF(G24="","",IF(G24="Done",1,IF(G24="In review",0.75,IF(G24="Draft",0.4,0))))</f>
        <v/>
      </c>
      <c r="I24" s="47" t="n"/>
    </row>
    <row r="25" ht="25.5" customHeight="1">
      <c r="A25" s="18" t="inlineStr">
        <is>
          <t>–</t>
        </is>
      </c>
      <c r="B25" s="46" t="inlineStr">
        <is>
          <t>Report .docx</t>
        </is>
      </c>
      <c r="C25" s="45" t="n">
        <v>0</v>
      </c>
      <c r="D25" s="43" t="n"/>
      <c r="E25" s="43" t="n"/>
      <c r="F25" s="43" t="n"/>
      <c r="G25" s="43" t="n"/>
      <c r="H25" s="19">
        <f>IF(G25="","",IF(G25="Done",1,IF(G25="In review",0.75,IF(G25="Draft",0.4,0))))</f>
        <v/>
      </c>
      <c r="I25" s="47" t="n"/>
    </row>
    <row r="26" ht="25.5" customHeight="1">
      <c r="A26" s="18" t="inlineStr">
        <is>
          <t>–</t>
        </is>
      </c>
      <c r="B26" s="46" t="inlineStr">
        <is>
          <t>readme.txt</t>
        </is>
      </c>
      <c r="C26" s="45" t="n">
        <v>0</v>
      </c>
      <c r="D26" s="43" t="n"/>
      <c r="E26" s="43" t="n"/>
      <c r="F26" s="43" t="n"/>
      <c r="G26" s="43" t="n"/>
      <c r="H26" s="19">
        <f>IF(G26="","",IF(G26="Done",1,IF(G26="In review",0.75,IF(G26="Draft",0.4,0))))</f>
        <v/>
      </c>
      <c r="I26" s="47" t="n"/>
    </row>
    <row r="27" ht="25.5" customHeight="1">
      <c r="A27" s="18" t="inlineStr">
        <is>
          <t>–</t>
        </is>
      </c>
      <c r="B27" s="46" t="inlineStr">
        <is>
          <t>% contribution of each member</t>
        </is>
      </c>
      <c r="C27" s="45" t="n">
        <v>0</v>
      </c>
      <c r="D27" s="43" t="n"/>
      <c r="E27" s="43" t="n"/>
      <c r="F27" s="43" t="n"/>
      <c r="G27" s="43" t="n"/>
      <c r="H27" s="19">
        <f>IF(G27="","",IF(G27="Done",1,IF(G27="In review",0.75,IF(G27="Draft",0.4,0))))</f>
        <v/>
      </c>
      <c r="I27" s="47" t="n"/>
    </row>
    <row r="29">
      <c r="B29" s="9" t="inlineStr">
        <is>
          <t>Overall progress</t>
        </is>
      </c>
      <c r="C29" s="19">
        <f>IFERROR(AVERAGE(H5:H27),"")</f>
        <v/>
      </c>
    </row>
    <row r="30">
      <c r="B30" s="9" t="inlineStr">
        <is>
          <t>Artifacts done</t>
        </is>
      </c>
      <c r="C30" s="45">
        <f>COUNTIF(G5:G27,"Done")&amp;" of 23"</f>
        <v/>
      </c>
    </row>
    <row r="32">
      <c r="A32" s="14" t="inlineStr">
        <is>
          <t>Marks column shows the weight of each task of the assignment (split across its artifacts for tracking only).</t>
        </is>
      </c>
    </row>
  </sheetData>
  <dataValidations count="1">
    <dataValidation sqref="G7 G9:G19 G22:G27" showDropDown="0" showInputMessage="0" showErrorMessage="1" allowBlank="1" error="Choose a value from the list." type="list">
      <formula1>"Not started,Draft,In review,Done"</formula1>
      <formula2>0</formula2>
    </dataValidation>
  </dataValidations>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F14"/>
  <sheetViews>
    <sheetView showGridLines="0" tabSelected="1" zoomScaleNormal="100" workbookViewId="0">
      <selection activeCell="D10" sqref="D10"/>
    </sheetView>
  </sheetViews>
  <sheetFormatPr baseColWidth="8" defaultColWidth="8.7109375" defaultRowHeight="15"/>
  <cols>
    <col width="7" customWidth="1" min="1" max="1"/>
    <col width="66" customWidth="1" min="2" max="2"/>
    <col width="26" customWidth="1" min="3" max="3"/>
    <col width="14" customWidth="1" min="4" max="5"/>
    <col width="30" customWidth="1" min="6" max="6"/>
  </cols>
  <sheetData>
    <row r="1" ht="19.5" customHeight="1">
      <c r="A1" s="1" t="inlineStr">
        <is>
          <t>Model Consistency Check</t>
        </is>
      </c>
    </row>
    <row r="2">
      <c r="A2" s="2" t="inlineStr">
        <is>
          <t>Diagrams must be syntactically correct, logically sound and aligned with each other.</t>
        </is>
      </c>
    </row>
    <row r="4">
      <c r="A4" s="7" t="inlineStr">
        <is>
          <t>#</t>
        </is>
      </c>
      <c r="B4" s="7" t="inlineStr">
        <is>
          <t>Check</t>
        </is>
      </c>
      <c r="C4" s="7" t="inlineStr">
        <is>
          <t>Diagrams involved</t>
        </is>
      </c>
      <c r="D4" s="11" t="inlineStr">
        <is>
          <t>Student</t>
        </is>
      </c>
      <c r="E4" s="15" t="inlineStr">
        <is>
          <t>Lecturer</t>
        </is>
      </c>
      <c r="F4" s="7" t="inlineStr">
        <is>
          <t>Notes</t>
        </is>
      </c>
    </row>
    <row r="5" ht="30" customHeight="1">
      <c r="A5" s="45" t="n">
        <v>1</v>
      </c>
      <c r="B5" s="46" t="inlineStr">
        <is>
          <t>Every use case in the diagram has a description, and every description is in the diagram</t>
        </is>
      </c>
      <c r="C5" s="46" t="inlineStr">
        <is>
          <t>Use case diagram / descriptions</t>
        </is>
      </c>
      <c r="D5" s="20" t="n"/>
      <c r="E5" s="21" t="n"/>
      <c r="F5" s="22" t="n"/>
    </row>
    <row r="6" ht="30" customHeight="1">
      <c r="A6" s="45" t="n">
        <v>2</v>
      </c>
      <c r="B6" s="46" t="inlineStr">
        <is>
          <t>Every step of the main flow appears in the activity diagram</t>
        </is>
      </c>
      <c r="C6" s="46" t="inlineStr">
        <is>
          <t>Descriptions / activity</t>
        </is>
      </c>
      <c r="D6" s="20" t="n"/>
      <c r="E6" s="21" t="n"/>
      <c r="F6" s="22" t="n"/>
    </row>
    <row r="7" ht="30" customHeight="1">
      <c r="A7" s="45" t="n">
        <v>3</v>
      </c>
      <c r="B7" s="46" t="inlineStr">
        <is>
          <t>Objects and messages in the sequence diagram exist as classes and methods in the class diagram</t>
        </is>
      </c>
      <c r="C7" s="46" t="inlineStr">
        <is>
          <t>Sequence / class</t>
        </is>
      </c>
      <c r="D7" s="20" t="n"/>
      <c r="E7" s="21" t="n"/>
      <c r="F7" s="22" t="n"/>
    </row>
    <row r="8" ht="30" customHeight="1">
      <c r="A8" s="45" t="n">
        <v>4</v>
      </c>
      <c r="B8" s="46" t="inlineStr">
        <is>
          <t>State names and transitions match the events in the sequence diagram</t>
        </is>
      </c>
      <c r="C8" s="46" t="inlineStr">
        <is>
          <t>State chart / sequence</t>
        </is>
      </c>
      <c r="D8" s="20" t="n"/>
      <c r="E8" s="21" t="n"/>
      <c r="F8" s="22" t="n"/>
    </row>
    <row r="9" ht="30" customHeight="1">
      <c r="A9" s="45" t="n">
        <v>5</v>
      </c>
      <c r="B9" s="46" t="inlineStr">
        <is>
          <t>Payment gateway steps match between both activity diagrams and the sequence diagram</t>
        </is>
      </c>
      <c r="C9" s="46" t="inlineStr">
        <is>
          <t>Activity / sequence</t>
        </is>
      </c>
      <c r="D9" s="20" t="n"/>
      <c r="E9" s="21" t="n"/>
      <c r="F9" s="22" t="n"/>
    </row>
    <row r="10" ht="30" customHeight="1">
      <c r="A10" s="45" t="n">
        <v>6</v>
      </c>
      <c r="B10" s="46" t="inlineStr">
        <is>
          <t>Requirement IDs are cited in the use cases</t>
        </is>
      </c>
      <c r="C10" s="46" t="inlineStr">
        <is>
          <t>Requirements / use cases</t>
        </is>
      </c>
      <c r="D10" s="48" t="inlineStr">
        <is>
          <t>Done</t>
        </is>
      </c>
      <c r="E10" s="21" t="n"/>
      <c r="F10" s="22" t="n"/>
    </row>
    <row r="11" ht="30" customHeight="1">
      <c r="A11" s="45" t="n">
        <v>7</v>
      </c>
      <c r="B11" s="46" t="inlineStr">
        <is>
          <t>The class diagram matches the C# code from forward and backward engineering</t>
        </is>
      </c>
      <c r="C11" s="46" t="inlineStr">
        <is>
          <t>Class / code</t>
        </is>
      </c>
      <c r="D11" s="20" t="n"/>
      <c r="E11" s="21" t="n"/>
      <c r="F11" s="22" t="n"/>
    </row>
    <row r="12" ht="30" customHeight="1">
      <c r="A12" s="45" t="n">
        <v>8</v>
      </c>
      <c r="B12" s="46" t="inlineStr">
        <is>
          <t>The UI screens match the steps of the main flow</t>
        </is>
      </c>
      <c r="C12" s="46" t="inlineStr">
        <is>
          <t>Wireframes / descriptions</t>
        </is>
      </c>
      <c r="D12" s="20" t="n"/>
      <c r="E12" s="21" t="n"/>
      <c r="F12" s="22" t="n"/>
    </row>
    <row r="13" ht="30" customHeight="1">
      <c r="A13" s="45" t="n">
        <v>9</v>
      </c>
      <c r="B13" s="46" t="inlineStr">
        <is>
          <t>The architecture and deployment diagrams show the same components</t>
        </is>
      </c>
      <c r="C13" s="46" t="inlineStr">
        <is>
          <t>Architecture / deployment</t>
        </is>
      </c>
      <c r="D13" s="20" t="n"/>
      <c r="E13" s="21" t="n"/>
      <c r="F13" s="22" t="n"/>
    </row>
    <row r="14" ht="30" customHeight="1">
      <c r="A14" s="45" t="n">
        <v>10</v>
      </c>
      <c r="B14" s="46" t="inlineStr">
        <is>
          <t>UML notation is correct (arrows, multiplicities, guards, swim lanes)</t>
        </is>
      </c>
      <c r="C14" s="46" t="inlineStr">
        <is>
          <t>All diagrams</t>
        </is>
      </c>
      <c r="D14" s="20" t="n"/>
      <c r="E14" s="21" t="n"/>
      <c r="F14" s="22" t="n"/>
    </row>
  </sheetData>
  <conditionalFormatting sqref="D5:E14">
    <cfRule type="cellIs" priority="2" operator="equal" dxfId="4">
      <formula>"Yes"</formula>
    </cfRule>
    <cfRule type="cellIs" priority="3" operator="equal" dxfId="3">
      <formula>"Partly"</formula>
    </cfRule>
    <cfRule type="cellIs" priority="4" operator="equal" dxfId="2">
      <formula>"No"</formula>
    </cfRule>
  </conditionalFormatting>
  <dataValidations count="1">
    <dataValidation sqref="D5:E14" showDropDown="0" showInputMessage="0" showErrorMessage="0" allowBlank="1" type="list">
      <formula1>"Yes,Partly,No"</formula1>
      <formula2>0</formula2>
    </dataValidation>
  </dataValidations>
  <pageMargins left="0.75" right="0.75" top="1" bottom="1" header="0.511811023622047" footer="0.511811023622047"/>
  <pageSetup orientation="landscape" fitToHeight="0" horizontalDpi="300" verticalDpi="300"/>
</worksheet>
</file>

<file path=xl/worksheets/sheet8.xml><?xml version="1.0" encoding="utf-8"?>
<worksheet xmlns="http://schemas.openxmlformats.org/spreadsheetml/2006/main">
  <sheetPr>
    <outlinePr summaryBelow="1" summaryRight="1"/>
    <pageSetUpPr fitToPage="1"/>
  </sheetPr>
  <dimension ref="A1:J51"/>
  <sheetViews>
    <sheetView showGridLines="0" zoomScaleNormal="100" workbookViewId="0">
      <pane xSplit="1" ySplit="4" topLeftCell="B5" activePane="bottomRight" state="frozen"/>
      <selection pane="topRight" activeCell="B1" sqref="B1"/>
      <selection pane="bottomLeft" activeCell="A5" sqref="A5"/>
      <selection pane="bottomRight" activeCell="F8" sqref="F8"/>
    </sheetView>
  </sheetViews>
  <sheetFormatPr baseColWidth="8" defaultColWidth="8.7109375" defaultRowHeight="15"/>
  <cols>
    <col width="6" customWidth="1" min="1" max="1"/>
    <col width="12" customWidth="1" min="2" max="3"/>
    <col width="16" customWidth="1" min="4" max="4"/>
    <col width="24" customWidth="1" min="5" max="5"/>
    <col width="44" customWidth="1" min="6" max="6"/>
    <col width="35.7109375" customWidth="1" min="7" max="7"/>
    <col width="14" customWidth="1" min="8" max="8"/>
    <col width="38.85546875" customWidth="1" min="9" max="9"/>
    <col width="28" customWidth="1" min="10" max="10"/>
  </cols>
  <sheetData>
    <row r="1" ht="19.5" customHeight="1">
      <c r="A1" s="1" t="inlineStr">
        <is>
          <t>AI Prompt Log (Task 9)</t>
        </is>
      </c>
    </row>
    <row r="2">
      <c r="A2" s="2" t="inlineStr">
        <is>
          <t>Document each prompt to GitHub Copilot (or a similar tool), how it helped, and how you validated the generated code.</t>
        </is>
      </c>
    </row>
    <row r="4" ht="43.5" customHeight="1">
      <c r="A4" s="7" t="inlineStr">
        <is>
          <t>No.</t>
        </is>
      </c>
      <c r="B4" s="11" t="inlineStr">
        <is>
          <t>Date</t>
        </is>
      </c>
      <c r="C4" s="11" t="inlineStr">
        <is>
          <t>Student ID</t>
        </is>
      </c>
      <c r="D4" s="11" t="inlineStr">
        <is>
          <t>Tool</t>
        </is>
      </c>
      <c r="E4" s="11" t="inlineStr">
        <is>
          <t>Task / artifact</t>
        </is>
      </c>
      <c r="F4" s="11" t="inlineStr">
        <is>
          <t>Prompt used</t>
        </is>
      </c>
      <c r="G4" s="11" t="inlineStr">
        <is>
          <t>How the AI helped (boilerplate / logic / explanation)</t>
        </is>
      </c>
      <c r="H4" s="11" t="inlineStr">
        <is>
          <t>Output used?</t>
        </is>
      </c>
      <c r="I4" s="11" t="inlineStr">
        <is>
          <t>How we validated it (tests, code review, run)</t>
        </is>
      </c>
      <c r="J4" s="15" t="inlineStr">
        <is>
          <t>Lecturer comment</t>
        </is>
      </c>
    </row>
    <row r="5" ht="33.75" customHeight="1">
      <c r="A5" s="16" t="inlineStr">
        <is>
          <t>1</t>
        </is>
      </c>
      <c r="B5" s="43" t="inlineStr">
        <is>
          <t>28/10</t>
        </is>
      </c>
      <c r="C5" s="43" t="inlineStr">
        <is>
          <t>524H0057</t>
        </is>
      </c>
      <c r="D5" s="43" t="inlineStr">
        <is>
          <t>Gemini</t>
        </is>
      </c>
      <c r="E5" s="43" t="inlineStr">
        <is>
          <t>Clarification Q&amp;A</t>
        </is>
      </c>
      <c r="F5" s="43" t="inlineStr">
        <is>
          <t>Soạn giúp tôi 3 câu hỏi Clarification Q&amp;A cho hệ thống TVM tập trung vào lỗi thanh toán và kẹt giấy.</t>
        </is>
      </c>
      <c r="G5" s="43" t="inlineStr">
        <is>
          <t>Gợi ý các tình huống biên và giải pháp xử lý lỗi phần cứng (kẹt giấy, hết giấy, timeout).</t>
        </is>
      </c>
      <c r="H5" s="43" t="inlineStr">
        <is>
          <t>Kept</t>
        </is>
      </c>
      <c r="I5" s="43" t="inlineStr">
        <is>
          <t>Đối chiếu với thực tế vận hành máy kiosk tự phục vụ và các kịch bản hoàn tiền tự động.</t>
        </is>
      </c>
      <c r="J5" s="47" t="n"/>
    </row>
    <row r="6" ht="33.75" customHeight="1">
      <c r="A6" s="16" t="inlineStr">
        <is>
          <t>2</t>
        </is>
      </c>
      <c r="B6" s="43" t="inlineStr">
        <is>
          <t>28/10</t>
        </is>
      </c>
      <c r="C6" s="43" t="inlineStr">
        <is>
          <t>524H0057</t>
        </is>
      </c>
      <c r="D6" s="43" t="inlineStr">
        <is>
          <t>Gemini</t>
        </is>
      </c>
      <c r="E6" s="43" t="inlineStr">
        <is>
          <t>Requirements Spec</t>
        </is>
      </c>
      <c r="F6" s="43" t="inlineStr">
        <is>
          <t>Chuyển đổi các câu Q&amp;A thành bảng FR1-FR7, NFR1-NFR4 có chỉ số đo lường cụ thể cho NFR.</t>
        </is>
      </c>
      <c r="G6" s="43" t="inlineStr">
        <is>
          <t>Tạo mẫu bảng chuẩn IEEE 830 và đặt metric thời gian phản hồi (&lt;1.0s, &lt;2.0s).</t>
        </is>
      </c>
      <c r="H6" s="43" t="inlineStr">
        <is>
          <t>Kept</t>
        </is>
      </c>
      <c r="I6" s="43" t="inlineStr">
        <is>
          <t>Tạo mẫu bảng chuẩn IEEE 830 và đặt metric thời gian phản hồi (&lt;1.0s, &lt;2.0s).</t>
        </is>
      </c>
      <c r="J6" s="47" t="n"/>
    </row>
    <row r="7" ht="33.75" customHeight="1">
      <c r="A7" s="16" t="inlineStr">
        <is>
          <t>3</t>
        </is>
      </c>
      <c r="B7" s="43" t="inlineStr">
        <is>
          <t>29/10</t>
        </is>
      </c>
      <c r="C7" s="43" t="inlineStr">
        <is>
          <t>524H0057</t>
        </is>
      </c>
      <c r="D7" s="43" t="inlineStr">
        <is>
          <t>Gemini</t>
        </is>
      </c>
      <c r="E7" s="43" t="inlineStr">
        <is>
          <t>Use Case UC01 Spec</t>
        </is>
      </c>
      <c r="F7" s="43" t="inlineStr">
        <is>
          <t>Viết đặc tả Use Case UC01 Buy a Ticket gồm Main Flow 10 bước, Alternate Flow và Exception Flow.</t>
        </is>
      </c>
      <c r="G7" s="43" t="inlineStr">
        <is>
          <t>Sinh luồng sự kiện chi tiết và phân định rõ hành vi của Passenger, Gateway, Printer.</t>
        </is>
      </c>
      <c r="H7" s="43" t="inlineStr">
        <is>
          <t>Kept</t>
        </is>
      </c>
      <c r="I7" s="43" t="inlineStr">
        <is>
          <t>Sinh luồng sự kiện chi tiết và phân định rõ hành vi của Passenger, Gateway, Printer.</t>
        </is>
      </c>
      <c r="J7" s="47" t="n"/>
    </row>
    <row r="8" ht="33.75" customHeight="1">
      <c r="A8" s="16" t="inlineStr">
        <is>
          <t>4</t>
        </is>
      </c>
      <c r="B8" s="43" t="inlineStr">
        <is>
          <t>29/10</t>
        </is>
      </c>
      <c r="C8" s="43" t="inlineStr">
        <is>
          <t>524H0057</t>
        </is>
      </c>
      <c r="D8" s="43" t="inlineStr">
        <is>
          <t>ChatGPT</t>
        </is>
      </c>
      <c r="E8" s="43" t="inlineStr">
        <is>
          <t>Git Troubleshooting</t>
        </is>
      </c>
      <c r="F8" s="43" t="inlineStr">
        <is>
          <t>Sửa lỗi git rebase lock và dọn dẹp các file rác Office ~$*.docx khỏi repository.</t>
        </is>
      </c>
      <c r="G8" s="43" t="inlineStr">
        <is>
          <t>Cung cấp chuỗi lệnh git rebase --abort và git rm -f --cached '~$*'.</t>
        </is>
      </c>
      <c r="H8" s="43" t="inlineStr">
        <is>
          <t>Kept</t>
        </is>
      </c>
      <c r="I8" s="43" t="inlineStr">
        <is>
          <t>Cung cấp chuỗi lệnh git rebase --abort và git rm -f --cached '~$*'.</t>
        </is>
      </c>
      <c r="J8" s="47" t="n"/>
    </row>
    <row r="9" ht="33.75" customHeight="1">
      <c r="A9" s="16" t="inlineStr">
        <is>
          <t>5</t>
        </is>
      </c>
      <c r="B9" s="43" t="inlineStr">
        <is>
          <t>29/10</t>
        </is>
      </c>
      <c r="C9" s="43" t="inlineStr">
        <is>
          <t>524H0052</t>
        </is>
      </c>
      <c r="D9" s="43" t="inlineStr">
        <is>
          <t>Copilot</t>
        </is>
      </c>
      <c r="E9" s="43" t="inlineStr">
        <is>
          <t>Forward Engineering</t>
        </is>
      </c>
      <c r="F9" s="43" t="inlineStr">
        <is>
          <t>Generate C# class structure for TVMController, Station, Ticket, PaymentTransaction matching UML Class Diagram 3.3.3.</t>
        </is>
      </c>
      <c r="G9" s="43" t="inlineStr">
        <is>
          <t>Scaffolded OOP class hierarchy, properties, and method stubs in SmartTicketing.Core.</t>
        </is>
      </c>
      <c r="H9" s="43" t="inlineStr">
        <is>
          <t>Kept and refined</t>
        </is>
      </c>
      <c r="I9" s="43" t="inlineStr">
        <is>
          <t>Compiled in Visual Studio 2022 and checked against Class Diagram 3.3.3.</t>
        </is>
      </c>
      <c r="J9" s="47" t="n"/>
    </row>
    <row r="10" ht="33.75" customHeight="1">
      <c r="A10" s="16" t="inlineStr">
        <is>
          <t>6</t>
        </is>
      </c>
      <c r="B10" s="43" t="inlineStr">
        <is>
          <t>29/10</t>
        </is>
      </c>
      <c r="C10" s="43" t="inlineStr">
        <is>
          <t>524H0052</t>
        </is>
      </c>
      <c r="D10" s="43" t="inlineStr">
        <is>
          <t>Copilot</t>
        </is>
      </c>
      <c r="E10" s="43" t="inlineStr">
        <is>
          <t>Database Schema</t>
        </is>
      </c>
      <c r="F10" s="43" t="inlineStr">
        <is>
          <t>Write SQL Server script for SmartTicketingDB with Stations, Tickets, PaymentTransactions and stored procedures.</t>
        </is>
      </c>
      <c r="G10" s="43" t="inlineStr">
        <is>
          <t>Generated parameterized DDL and seed data for Riverside Line matching Figma.</t>
        </is>
      </c>
      <c r="H10" s="43" t="inlineStr">
        <is>
          <t>Kept</t>
        </is>
      </c>
      <c r="I10" s="43" t="inlineStr">
        <is>
          <t>Executed in MSSQL and verified relational constraints.</t>
        </is>
      </c>
      <c r="J10" s="47" t="n"/>
    </row>
    <row r="11" ht="33.75" customHeight="1">
      <c r="A11" s="16" t="inlineStr">
        <is>
          <t>7</t>
        </is>
      </c>
      <c r="B11" s="43" t="inlineStr">
        <is>
          <t>30/10</t>
        </is>
      </c>
      <c r="C11" s="43" t="inlineStr">
        <is>
          <t>524H0052</t>
        </is>
      </c>
      <c r="D11" s="43" t="inlineStr">
        <is>
          <t>Copilot</t>
        </is>
      </c>
      <c r="E11" s="43" t="inlineStr">
        <is>
          <t>Demo WinForms UI</t>
        </is>
      </c>
      <c r="F11" s="43" t="inlineStr">
        <is>
          <t>Implement Windows Forms view for TVM Kiosk matching Figma MetroLink UI with 4-step progress bar and station selector.</t>
        </is>
      </c>
      <c r="G11" s="43" t="inlineStr">
        <is>
          <t>Generated GDI+ custom paint logic for route map and step circles.</t>
        </is>
      </c>
      <c r="H11" s="43" t="inlineStr">
        <is>
          <t>Kept and customized</t>
        </is>
      </c>
      <c r="I11" s="43" t="inlineStr">
        <is>
          <t>Visual inspection and tested on high DPI scaling.</t>
        </is>
      </c>
      <c r="J11" s="47" t="n"/>
    </row>
    <row r="12" ht="33.75" customHeight="1">
      <c r="A12" s="16" t="inlineStr">
        <is>
          <t>8</t>
        </is>
      </c>
      <c r="B12" s="43" t="inlineStr">
        <is>
          <t>30/10</t>
        </is>
      </c>
      <c r="C12" s="43" t="inlineStr">
        <is>
          <t>524H0052</t>
        </is>
      </c>
      <c r="D12" s="43" t="inlineStr">
        <is>
          <t>ChatGPT</t>
        </is>
      </c>
      <c r="E12" s="43" t="inlineStr">
        <is>
          <t>Exception Handling</t>
        </is>
      </c>
      <c r="F12" s="43" t="inlineStr">
        <is>
          <t>How to implement 60s asynchronous countdown timer and automatic transaction rollback on paper jam.</t>
        </is>
      </c>
      <c r="G12" s="43" t="inlineStr">
        <is>
          <t>Provided async/await timer pattern and compensation transaction pattern.</t>
        </is>
      </c>
      <c r="H12" s="43" t="inlineStr">
        <is>
          <t>Kept</t>
        </is>
      </c>
      <c r="I12" s="43" t="inlineStr">
        <is>
          <t>Ran simulated timeout and paper jam test cases without freezing UI.</t>
        </is>
      </c>
      <c r="J12" s="47" t="n"/>
    </row>
    <row r="13" ht="33.75" customHeight="1">
      <c r="A13" s="16" t="inlineStr">
        <is>
          <t>9</t>
        </is>
      </c>
      <c r="B13" s="43" t="inlineStr">
        <is>
          <t>29/10</t>
        </is>
      </c>
      <c r="C13" s="43" t="inlineStr">
        <is>
          <t>524H0069</t>
        </is>
      </c>
      <c r="D13" s="43" t="inlineStr">
        <is>
          <t>Claude</t>
        </is>
      </c>
      <c r="E13" s="43" t="inlineStr">
        <is>
          <t>Figma UI Design</t>
        </is>
      </c>
      <c r="F13" s="43" t="inlineStr">
        <is>
          <t>Design a clean modern public transit vending kiosk UI with MetroLink branding and Riverside Line.</t>
        </is>
      </c>
      <c r="G13" s="43" t="inlineStr">
        <is>
          <t>Structured 11 screens from Welcome S01 to Collection S10 and Fault S11.</t>
        </is>
      </c>
      <c r="H13" s="43" t="inlineStr">
        <is>
          <t>Kept</t>
        </is>
      </c>
      <c r="I13" s="43" t="inlineStr">
        <is>
          <t>Cross-checked with Activity Diagrams and Use Cases.</t>
        </is>
      </c>
      <c r="J13" s="47" t="n"/>
    </row>
    <row r="14" ht="33.75" customHeight="1">
      <c r="A14" s="16" t="inlineStr">
        <is>
          <t>10</t>
        </is>
      </c>
      <c r="B14" s="43" t="n"/>
      <c r="C14" s="43" t="n"/>
      <c r="D14" s="43" t="n"/>
      <c r="E14" s="43" t="n"/>
      <c r="F14" s="43" t="n"/>
      <c r="G14" s="43" t="n"/>
      <c r="H14" s="43" t="n"/>
      <c r="I14" s="43" t="n"/>
      <c r="J14" s="47" t="n"/>
    </row>
    <row r="15" ht="33.75" customHeight="1">
      <c r="A15" s="16" t="inlineStr">
        <is>
          <t>11</t>
        </is>
      </c>
      <c r="B15" s="43" t="n"/>
      <c r="C15" s="43" t="n"/>
      <c r="D15" s="43" t="n"/>
      <c r="E15" s="43" t="n"/>
      <c r="F15" s="43" t="n"/>
      <c r="G15" s="43" t="n"/>
      <c r="H15" s="43" t="n"/>
      <c r="I15" s="43" t="n"/>
      <c r="J15" s="47" t="n"/>
    </row>
    <row r="16" ht="33.75" customHeight="1">
      <c r="A16" s="16" t="inlineStr">
        <is>
          <t>12</t>
        </is>
      </c>
      <c r="B16" s="43" t="n"/>
      <c r="C16" s="43" t="n"/>
      <c r="D16" s="43" t="n"/>
      <c r="E16" s="43" t="n"/>
      <c r="F16" s="43" t="n"/>
      <c r="G16" s="43" t="n"/>
      <c r="H16" s="43" t="n"/>
      <c r="I16" s="43" t="n"/>
      <c r="J16" s="47" t="n"/>
    </row>
    <row r="17" ht="33.75" customHeight="1">
      <c r="A17" s="16" t="inlineStr">
        <is>
          <t>13</t>
        </is>
      </c>
      <c r="B17" s="43" t="n"/>
      <c r="C17" s="43" t="n"/>
      <c r="D17" s="43" t="n"/>
      <c r="E17" s="43" t="n"/>
      <c r="F17" s="43" t="n"/>
      <c r="G17" s="43" t="n"/>
      <c r="H17" s="43" t="n"/>
      <c r="I17" s="43" t="n"/>
      <c r="J17" s="47" t="n"/>
    </row>
    <row r="18" ht="33.75" customHeight="1">
      <c r="A18" s="16" t="inlineStr">
        <is>
          <t>14</t>
        </is>
      </c>
      <c r="B18" s="43" t="n"/>
      <c r="C18" s="43" t="n"/>
      <c r="D18" s="43" t="n"/>
      <c r="E18" s="43" t="n"/>
      <c r="F18" s="43" t="n"/>
      <c r="G18" s="43" t="n"/>
      <c r="H18" s="43" t="n"/>
      <c r="I18" s="43" t="n"/>
      <c r="J18" s="47" t="n"/>
    </row>
    <row r="19" ht="33.75" customHeight="1">
      <c r="A19" s="16" t="inlineStr">
        <is>
          <t>15</t>
        </is>
      </c>
      <c r="B19" s="43" t="n"/>
      <c r="C19" s="43" t="n"/>
      <c r="D19" s="43" t="n"/>
      <c r="E19" s="43" t="n"/>
      <c r="F19" s="43" t="n"/>
      <c r="G19" s="43" t="n"/>
      <c r="H19" s="43" t="n"/>
      <c r="I19" s="43" t="n"/>
      <c r="J19" s="47" t="n"/>
    </row>
    <row r="20" ht="33.75" customHeight="1">
      <c r="A20" s="16" t="inlineStr">
        <is>
          <t>16</t>
        </is>
      </c>
      <c r="B20" s="43" t="n"/>
      <c r="C20" s="43" t="n"/>
      <c r="D20" s="43" t="n"/>
      <c r="E20" s="43" t="n"/>
      <c r="F20" s="43" t="n"/>
      <c r="G20" s="43" t="n"/>
      <c r="H20" s="43" t="n"/>
      <c r="I20" s="43" t="n"/>
      <c r="J20" s="47" t="n"/>
    </row>
    <row r="21" ht="33.75" customHeight="1">
      <c r="A21" s="16" t="inlineStr">
        <is>
          <t>17</t>
        </is>
      </c>
      <c r="B21" s="43" t="n"/>
      <c r="C21" s="43" t="n"/>
      <c r="D21" s="43" t="n"/>
      <c r="E21" s="43" t="n"/>
      <c r="F21" s="43" t="n"/>
      <c r="G21" s="43" t="n"/>
      <c r="H21" s="43" t="n"/>
      <c r="I21" s="43" t="n"/>
      <c r="J21" s="47" t="n"/>
    </row>
    <row r="22" ht="33.75" customHeight="1">
      <c r="A22" s="16" t="inlineStr">
        <is>
          <t>18</t>
        </is>
      </c>
      <c r="B22" s="43" t="n"/>
      <c r="C22" s="43" t="n"/>
      <c r="D22" s="43" t="n"/>
      <c r="E22" s="43" t="n"/>
      <c r="F22" s="43" t="n"/>
      <c r="G22" s="43" t="n"/>
      <c r="H22" s="43" t="n"/>
      <c r="I22" s="43" t="n"/>
      <c r="J22" s="47" t="n"/>
    </row>
    <row r="23" ht="33.75" customHeight="1">
      <c r="A23" s="16" t="inlineStr">
        <is>
          <t>19</t>
        </is>
      </c>
      <c r="B23" s="43" t="n"/>
      <c r="C23" s="43" t="n"/>
      <c r="D23" s="43" t="n"/>
      <c r="E23" s="43" t="n"/>
      <c r="F23" s="43" t="n"/>
      <c r="G23" s="43" t="n"/>
      <c r="H23" s="43" t="n"/>
      <c r="I23" s="43" t="n"/>
      <c r="J23" s="47" t="n"/>
    </row>
    <row r="24" ht="33.75" customHeight="1">
      <c r="A24" s="16" t="inlineStr">
        <is>
          <t>20</t>
        </is>
      </c>
      <c r="B24" s="43" t="n"/>
      <c r="C24" s="43" t="n"/>
      <c r="D24" s="43" t="n"/>
      <c r="E24" s="43" t="n"/>
      <c r="F24" s="43" t="n"/>
      <c r="G24" s="43" t="n"/>
      <c r="H24" s="43" t="n"/>
      <c r="I24" s="43" t="n"/>
      <c r="J24" s="47" t="n"/>
    </row>
    <row r="25" ht="33.75" customHeight="1">
      <c r="A25" s="16" t="inlineStr">
        <is>
          <t>21</t>
        </is>
      </c>
      <c r="B25" s="43" t="n"/>
      <c r="C25" s="43" t="n"/>
      <c r="D25" s="43" t="n"/>
      <c r="E25" s="43" t="n"/>
      <c r="F25" s="43" t="n"/>
      <c r="G25" s="43" t="n"/>
      <c r="H25" s="43" t="n"/>
      <c r="I25" s="43" t="n"/>
      <c r="J25" s="47" t="n"/>
    </row>
    <row r="26" ht="33.75" customHeight="1">
      <c r="A26" s="16" t="inlineStr">
        <is>
          <t>22</t>
        </is>
      </c>
      <c r="B26" s="43" t="n"/>
      <c r="C26" s="43" t="n"/>
      <c r="D26" s="43" t="n"/>
      <c r="E26" s="43" t="n"/>
      <c r="F26" s="43" t="n"/>
      <c r="G26" s="43" t="n"/>
      <c r="H26" s="43" t="n"/>
      <c r="I26" s="43" t="n"/>
      <c r="J26" s="47" t="n"/>
    </row>
    <row r="27" ht="33.75" customHeight="1">
      <c r="A27" s="16" t="inlineStr">
        <is>
          <t>23</t>
        </is>
      </c>
      <c r="B27" s="43" t="n"/>
      <c r="C27" s="43" t="n"/>
      <c r="D27" s="43" t="n"/>
      <c r="E27" s="43" t="n"/>
      <c r="F27" s="43" t="n"/>
      <c r="G27" s="43" t="n"/>
      <c r="H27" s="43" t="n"/>
      <c r="I27" s="43" t="n"/>
      <c r="J27" s="47" t="n"/>
    </row>
    <row r="28" ht="33.75" customHeight="1">
      <c r="A28" s="16" t="inlineStr">
        <is>
          <t>24</t>
        </is>
      </c>
      <c r="B28" s="43" t="n"/>
      <c r="C28" s="43" t="n"/>
      <c r="D28" s="43" t="n"/>
      <c r="E28" s="43" t="n"/>
      <c r="F28" s="43" t="n"/>
      <c r="G28" s="43" t="n"/>
      <c r="H28" s="43" t="n"/>
      <c r="I28" s="43" t="n"/>
      <c r="J28" s="47" t="n"/>
    </row>
    <row r="29" ht="33.75" customHeight="1">
      <c r="A29" s="16" t="inlineStr">
        <is>
          <t>25</t>
        </is>
      </c>
      <c r="B29" s="43" t="n"/>
      <c r="C29" s="43" t="n"/>
      <c r="D29" s="43" t="n"/>
      <c r="E29" s="43" t="n"/>
      <c r="F29" s="43" t="n"/>
      <c r="G29" s="43" t="n"/>
      <c r="H29" s="43" t="n"/>
      <c r="I29" s="43" t="n"/>
      <c r="J29" s="47" t="n"/>
    </row>
    <row r="30" ht="33.75" customHeight="1">
      <c r="A30" s="16" t="inlineStr">
        <is>
          <t>26</t>
        </is>
      </c>
      <c r="B30" s="43" t="n"/>
      <c r="C30" s="43" t="n"/>
      <c r="D30" s="43" t="n"/>
      <c r="E30" s="43" t="n"/>
      <c r="F30" s="43" t="n"/>
      <c r="G30" s="43" t="n"/>
      <c r="H30" s="43" t="n"/>
      <c r="I30" s="43" t="n"/>
      <c r="J30" s="47" t="n"/>
    </row>
    <row r="31" ht="33.75" customHeight="1">
      <c r="A31" s="16" t="inlineStr">
        <is>
          <t>27</t>
        </is>
      </c>
      <c r="B31" s="43" t="n"/>
      <c r="C31" s="43" t="n"/>
      <c r="D31" s="43" t="n"/>
      <c r="E31" s="43" t="n"/>
      <c r="F31" s="43" t="n"/>
      <c r="G31" s="43" t="n"/>
      <c r="H31" s="43" t="n"/>
      <c r="I31" s="43" t="n"/>
      <c r="J31" s="47" t="n"/>
    </row>
    <row r="32" ht="33.75" customHeight="1">
      <c r="A32" s="16" t="inlineStr">
        <is>
          <t>28</t>
        </is>
      </c>
      <c r="B32" s="43" t="n"/>
      <c r="C32" s="43" t="n"/>
      <c r="D32" s="43" t="n"/>
      <c r="E32" s="43" t="n"/>
      <c r="F32" s="43" t="n"/>
      <c r="G32" s="43" t="n"/>
      <c r="H32" s="43" t="n"/>
      <c r="I32" s="43" t="n"/>
      <c r="J32" s="47" t="n"/>
    </row>
    <row r="33" ht="33.75" customHeight="1">
      <c r="A33" s="16" t="inlineStr">
        <is>
          <t>29</t>
        </is>
      </c>
      <c r="B33" s="43" t="n"/>
      <c r="C33" s="43" t="n"/>
      <c r="D33" s="43" t="n"/>
      <c r="E33" s="43" t="n"/>
      <c r="F33" s="43" t="n"/>
      <c r="G33" s="43" t="n"/>
      <c r="H33" s="43" t="n"/>
      <c r="I33" s="43" t="n"/>
      <c r="J33" s="47" t="n"/>
    </row>
    <row r="34" ht="33.75" customHeight="1">
      <c r="A34" s="16" t="inlineStr">
        <is>
          <t>30</t>
        </is>
      </c>
      <c r="B34" s="43" t="n"/>
      <c r="C34" s="43" t="n"/>
      <c r="D34" s="43" t="n"/>
      <c r="E34" s="43" t="n"/>
      <c r="F34" s="43" t="n"/>
      <c r="G34" s="43" t="n"/>
      <c r="H34" s="43" t="n"/>
      <c r="I34" s="43" t="n"/>
      <c r="J34" s="47" t="n"/>
    </row>
    <row r="35" ht="33.75" customHeight="1">
      <c r="A35" s="16" t="inlineStr">
        <is>
          <t>31</t>
        </is>
      </c>
      <c r="B35" s="43" t="n"/>
      <c r="C35" s="43" t="n"/>
      <c r="D35" s="43" t="n"/>
      <c r="E35" s="43" t="n"/>
      <c r="F35" s="43" t="n"/>
      <c r="G35" s="43" t="n"/>
      <c r="H35" s="43" t="n"/>
      <c r="I35" s="43" t="n"/>
      <c r="J35" s="47" t="n"/>
    </row>
    <row r="36" ht="33.75" customHeight="1">
      <c r="A36" s="16" t="inlineStr">
        <is>
          <t>32</t>
        </is>
      </c>
      <c r="B36" s="43" t="n"/>
      <c r="C36" s="43" t="n"/>
      <c r="D36" s="43" t="n"/>
      <c r="E36" s="43" t="n"/>
      <c r="F36" s="43" t="n"/>
      <c r="G36" s="43" t="n"/>
      <c r="H36" s="43" t="n"/>
      <c r="I36" s="43" t="n"/>
      <c r="J36" s="47" t="n"/>
    </row>
    <row r="37" ht="33.75" customHeight="1">
      <c r="A37" s="16" t="inlineStr">
        <is>
          <t>33</t>
        </is>
      </c>
      <c r="B37" s="43" t="n"/>
      <c r="C37" s="43" t="n"/>
      <c r="D37" s="43" t="n"/>
      <c r="E37" s="43" t="n"/>
      <c r="F37" s="43" t="n"/>
      <c r="G37" s="43" t="n"/>
      <c r="H37" s="43" t="n"/>
      <c r="I37" s="43" t="n"/>
      <c r="J37" s="47" t="n"/>
    </row>
    <row r="38" ht="33.75" customHeight="1">
      <c r="A38" s="16" t="inlineStr">
        <is>
          <t>34</t>
        </is>
      </c>
      <c r="B38" s="43" t="n"/>
      <c r="C38" s="43" t="n"/>
      <c r="D38" s="43" t="n"/>
      <c r="E38" s="43" t="n"/>
      <c r="F38" s="43" t="n"/>
      <c r="G38" s="43" t="n"/>
      <c r="H38" s="43" t="n"/>
      <c r="I38" s="43" t="n"/>
      <c r="J38" s="47" t="n"/>
    </row>
    <row r="39" ht="33.75" customHeight="1">
      <c r="A39" s="16" t="inlineStr">
        <is>
          <t>35</t>
        </is>
      </c>
      <c r="B39" s="43" t="n"/>
      <c r="C39" s="43" t="n"/>
      <c r="D39" s="43" t="n"/>
      <c r="E39" s="43" t="n"/>
      <c r="F39" s="43" t="n"/>
      <c r="G39" s="43" t="n"/>
      <c r="H39" s="43" t="n"/>
      <c r="I39" s="43" t="n"/>
      <c r="J39" s="47" t="n"/>
    </row>
    <row r="40" ht="33.75" customHeight="1">
      <c r="A40" s="16" t="inlineStr">
        <is>
          <t>36</t>
        </is>
      </c>
      <c r="B40" s="43" t="n"/>
      <c r="C40" s="43" t="n"/>
      <c r="D40" s="43" t="n"/>
      <c r="E40" s="43" t="n"/>
      <c r="F40" s="43" t="n"/>
      <c r="G40" s="43" t="n"/>
      <c r="H40" s="43" t="n"/>
      <c r="I40" s="43" t="n"/>
      <c r="J40" s="47" t="n"/>
    </row>
    <row r="41" ht="33.75" customHeight="1">
      <c r="A41" s="16" t="inlineStr">
        <is>
          <t>37</t>
        </is>
      </c>
      <c r="B41" s="43" t="n"/>
      <c r="C41" s="43" t="n"/>
      <c r="D41" s="43" t="n"/>
      <c r="E41" s="43" t="n"/>
      <c r="F41" s="43" t="n"/>
      <c r="G41" s="43" t="n"/>
      <c r="H41" s="43" t="n"/>
      <c r="I41" s="43" t="n"/>
      <c r="J41" s="47" t="n"/>
    </row>
    <row r="42" ht="33.75" customHeight="1">
      <c r="A42" s="16" t="inlineStr">
        <is>
          <t>38</t>
        </is>
      </c>
      <c r="B42" s="43" t="n"/>
      <c r="C42" s="43" t="n"/>
      <c r="D42" s="43" t="n"/>
      <c r="E42" s="43" t="n"/>
      <c r="F42" s="43" t="n"/>
      <c r="G42" s="43" t="n"/>
      <c r="H42" s="43" t="n"/>
      <c r="I42" s="43" t="n"/>
      <c r="J42" s="47" t="n"/>
    </row>
    <row r="43" ht="33.75" customHeight="1">
      <c r="A43" s="16" t="inlineStr">
        <is>
          <t>39</t>
        </is>
      </c>
      <c r="B43" s="43" t="n"/>
      <c r="C43" s="43" t="n"/>
      <c r="D43" s="43" t="n"/>
      <c r="E43" s="43" t="n"/>
      <c r="F43" s="43" t="n"/>
      <c r="G43" s="43" t="n"/>
      <c r="H43" s="43" t="n"/>
      <c r="I43" s="43" t="n"/>
      <c r="J43" s="47" t="n"/>
    </row>
    <row r="44" ht="33.75" customHeight="1">
      <c r="A44" s="16" t="inlineStr">
        <is>
          <t>40</t>
        </is>
      </c>
      <c r="B44" s="43" t="n"/>
      <c r="C44" s="43" t="n"/>
      <c r="D44" s="43" t="n"/>
      <c r="E44" s="43" t="n"/>
      <c r="F44" s="43" t="n"/>
      <c r="G44" s="43" t="n"/>
      <c r="H44" s="43" t="n"/>
      <c r="I44" s="43" t="n"/>
      <c r="J44" s="47" t="n"/>
    </row>
    <row r="46">
      <c r="E46" s="9" t="inlineStr">
        <is>
          <t>Kept</t>
        </is>
      </c>
      <c r="F46" s="45">
        <f>COUNTIF(H5:H44,"Kept")</f>
        <v/>
      </c>
    </row>
    <row r="47">
      <c r="E47" s="9" t="inlineStr">
        <is>
          <t>Changed</t>
        </is>
      </c>
      <c r="F47" s="45">
        <f>COUNTIF(H5:H44,"Changed")</f>
        <v/>
      </c>
    </row>
    <row r="48">
      <c r="E48" s="9" t="inlineStr">
        <is>
          <t>Rejected</t>
        </is>
      </c>
      <c r="F48" s="45">
        <f>COUNTIF(H5:H44,"Rejected")</f>
        <v/>
      </c>
    </row>
    <row r="49">
      <c r="E49" s="9" t="inlineStr">
        <is>
          <t>Used without validation</t>
        </is>
      </c>
      <c r="F49" s="45">
        <f>COUNTIFS(H5:H44,"&lt;&gt;",I5:I44,"")</f>
        <v/>
      </c>
    </row>
    <row r="51">
      <c r="A51" s="14" t="inlineStr">
        <is>
          <t>Every AI output you keep or change must have a validation. The red counter shows prompts with a decision but no validation.</t>
        </is>
      </c>
    </row>
  </sheetData>
  <conditionalFormatting sqref="F49">
    <cfRule type="expression" priority="2" dxfId="0">
      <formula>F49&gt;0</formula>
    </cfRule>
  </conditionalFormatting>
  <dataValidations count="2">
    <dataValidation sqref="D9:D44" showDropDown="0" showInputMessage="0" showErrorMessage="1" allowBlank="1" error="Choose a value from the list." type="list">
      <formula1>"GitHub Copilot,ChatGPT,Gemini,Claude,Other"</formula1>
      <formula2>0</formula2>
    </dataValidation>
    <dataValidation sqref="H9:H44" showDropDown="0" showInputMessage="0" showErrorMessage="1" allowBlank="1" error="Choose a value from the list." type="list">
      <formula1>"Kept,Changed,Rejected"</formula1>
      <formula2>0</formula2>
    </dataValidation>
  </dataValidations>
  <pageMargins left="0.75" right="0.75" top="1" bottom="1" header="0.511811023622047" footer="0.511811023622047"/>
  <pageSetup orientation="landscape" fitToHeight="0" horizontalDpi="300" verticalDpi="300"/>
</worksheet>
</file>

<file path=xl/worksheets/sheet9.xml><?xml version="1.0" encoding="utf-8"?>
<worksheet xmlns="http://schemas.openxmlformats.org/spreadsheetml/2006/main">
  <sheetPr>
    <outlinePr summaryBelow="1" summaryRight="1"/>
    <pageSetUpPr fitToPage="1"/>
  </sheetPr>
  <dimension ref="A1:H64"/>
  <sheetViews>
    <sheetView showGridLines="0" zoomScaleNormal="100" workbookViewId="0">
      <selection activeCell="E5" sqref="E5"/>
    </sheetView>
  </sheetViews>
  <sheetFormatPr baseColWidth="8" defaultColWidth="8.7109375" defaultRowHeight="15"/>
  <cols>
    <col width="10" customWidth="1" min="1" max="1"/>
    <col width="14" customWidth="1" min="2" max="3"/>
    <col width="26" customWidth="1" min="4" max="4"/>
    <col width="10" customWidth="1" min="5" max="5"/>
    <col width="14" customWidth="1" min="6" max="6"/>
    <col width="44" customWidth="1" min="7" max="7"/>
    <col width="30" customWidth="1" min="8" max="8"/>
  </cols>
  <sheetData>
    <row r="1" ht="19.5" customHeight="1">
      <c r="A1" s="1" t="inlineStr">
        <is>
          <t>Commit and Pull Request Log</t>
        </is>
      </c>
    </row>
    <row r="2">
      <c r="A2" s="2" t="inlineStr">
        <is>
          <t>Record the evidence of collaboration each week. Use the Student ID exactly as in the Team sheet.</t>
        </is>
      </c>
    </row>
    <row r="4" ht="33.75" customHeight="1">
      <c r="A4" s="11" t="inlineStr">
        <is>
          <t>Week</t>
        </is>
      </c>
      <c r="B4" s="11" t="inlineStr">
        <is>
          <t>Date</t>
        </is>
      </c>
      <c r="C4" s="11" t="inlineStr">
        <is>
          <t>Student ID</t>
        </is>
      </c>
      <c r="D4" s="11" t="inlineStr">
        <is>
          <t>Branch</t>
        </is>
      </c>
      <c r="E4" s="11" t="inlineStr">
        <is>
          <t>Commits</t>
        </is>
      </c>
      <c r="F4" s="11" t="inlineStr">
        <is>
          <t>Pull requests</t>
        </is>
      </c>
      <c r="G4" s="11" t="inlineStr">
        <is>
          <t>What was done / link</t>
        </is>
      </c>
      <c r="H4" s="15" t="inlineStr">
        <is>
          <t>Lecturer comment</t>
        </is>
      </c>
    </row>
    <row r="5" ht="24" customHeight="1">
      <c r="A5" s="43" t="inlineStr">
        <is>
          <t>1</t>
        </is>
      </c>
      <c r="B5" s="43" t="inlineStr">
        <is>
          <t>28/10</t>
        </is>
      </c>
      <c r="C5" s="43" t="inlineStr">
        <is>
          <t>524H0057</t>
        </is>
      </c>
      <c r="D5" s="43" t="inlineStr">
        <is>
          <t>main</t>
        </is>
      </c>
      <c r="E5" s="43" t="n">
        <v>3</v>
      </c>
      <c r="F5" s="43" t="n">
        <v>0</v>
      </c>
      <c r="G5" s="43" t="inlineStr">
        <is>
          <t>Docs: Initial readme, repo setup, and Q&amp;A outline (commits 3fbcc12, 0da08b7, a53daad)</t>
        </is>
      </c>
      <c r="H5" s="47" t="n"/>
    </row>
    <row r="6" ht="24" customHeight="1">
      <c r="A6" s="43" t="inlineStr">
        <is>
          <t>2</t>
        </is>
      </c>
      <c r="B6" s="43" t="inlineStr">
        <is>
          <t>29/10</t>
        </is>
      </c>
      <c r="C6" s="43" t="inlineStr">
        <is>
          <t>524H0057</t>
        </is>
      </c>
      <c r="D6" s="43" t="inlineStr">
        <is>
          <t>main</t>
        </is>
      </c>
      <c r="E6" s="43" t="n">
        <v>2</v>
      </c>
      <c r="F6" s="43" t="n">
        <v>1</v>
      </c>
      <c r="G6" s="43" t="inlineStr">
        <is>
          <t>Docs: Complete Phase 1-3 requirements &amp; UC1 spec (commits 4f39f48, 860ee3e)</t>
        </is>
      </c>
      <c r="H6" s="47" t="n"/>
    </row>
    <row r="7" ht="24" customHeight="1">
      <c r="A7" s="43" t="inlineStr">
        <is>
          <t>3</t>
        </is>
      </c>
      <c r="B7" s="43" t="inlineStr">
        <is>
          <t>29/10</t>
        </is>
      </c>
      <c r="C7" s="43" t="inlineStr">
        <is>
          <t>524H0069</t>
        </is>
      </c>
      <c r="D7" s="43" t="inlineStr">
        <is>
          <t>feature/ui-and-modeling</t>
        </is>
      </c>
      <c r="E7" s="43" t="n">
        <v>2</v>
      </c>
      <c r="F7" s="43" t="n">
        <v>0</v>
      </c>
      <c r="G7" s="43" t="inlineStr">
        <is>
          <t>Design: Activity, Sequence, State, and Class Diagrams (commit d4120bb)</t>
        </is>
      </c>
      <c r="H7" s="47" t="n"/>
    </row>
    <row r="8" ht="24" customHeight="1">
      <c r="A8" s="43" t="inlineStr">
        <is>
          <t>4</t>
        </is>
      </c>
      <c r="B8" s="43" t="inlineStr">
        <is>
          <t>30/10</t>
        </is>
      </c>
      <c r="C8" s="43" t="inlineStr">
        <is>
          <t>524H0069</t>
        </is>
      </c>
      <c r="D8" s="43" t="inlineStr">
        <is>
          <t>feature/ui-and-modeling</t>
        </is>
      </c>
      <c r="E8" s="43" t="n">
        <v>2</v>
      </c>
      <c r="F8" s="43" t="n">
        <v>1</v>
      </c>
      <c r="G8" s="43" t="inlineStr">
        <is>
          <t>UI/UX: Figma MetroLink screens S01-S11 &amp; Architecture deployment (commit 8f68ace)</t>
        </is>
      </c>
      <c r="H8" s="47" t="n"/>
    </row>
    <row r="9" ht="24" customHeight="1">
      <c r="A9" s="43" t="inlineStr">
        <is>
          <t>5</t>
        </is>
      </c>
      <c r="B9" s="43" t="inlineStr">
        <is>
          <t>30/10</t>
        </is>
      </c>
      <c r="C9" s="43" t="inlineStr">
        <is>
          <t>524H0052</t>
        </is>
      </c>
      <c r="D9" s="43" t="inlineStr">
        <is>
          <t>feature/demo-application-member3</t>
        </is>
      </c>
      <c r="E9" s="43" t="n">
        <v>3</v>
      </c>
      <c r="F9" s="43" t="n">
        <v>1</v>
      </c>
      <c r="G9" s="43" t="inlineStr">
        <is>
          <t>Feat: C# WinForms TVM solution, MSSQL Script.sql, VS Code Map, and test suites</t>
        </is>
      </c>
      <c r="H9" s="47" t="n"/>
    </row>
    <row r="10" ht="24" customHeight="1">
      <c r="A10" s="43" t="n"/>
      <c r="B10" s="43" t="n"/>
      <c r="C10" s="43" t="n"/>
      <c r="D10" s="43" t="n"/>
      <c r="E10" s="43" t="n"/>
      <c r="F10" s="43" t="n"/>
      <c r="G10" s="43" t="n"/>
      <c r="H10" s="47" t="n"/>
    </row>
    <row r="11" ht="24" customHeight="1">
      <c r="A11" s="43" t="n"/>
      <c r="B11" s="43" t="n"/>
      <c r="C11" s="43" t="n"/>
      <c r="D11" s="43" t="n"/>
      <c r="E11" s="43" t="n"/>
      <c r="F11" s="43" t="n"/>
      <c r="G11" s="43" t="n"/>
      <c r="H11" s="47" t="n"/>
    </row>
    <row r="12" ht="24" customHeight="1">
      <c r="A12" s="43" t="n"/>
      <c r="B12" s="43" t="n"/>
      <c r="C12" s="43" t="n"/>
      <c r="D12" s="43" t="n"/>
      <c r="E12" s="43" t="n"/>
      <c r="F12" s="43" t="n"/>
      <c r="G12" s="43" t="n"/>
      <c r="H12" s="47" t="n"/>
    </row>
    <row r="13" ht="24" customHeight="1">
      <c r="A13" s="43" t="n"/>
      <c r="B13" s="43" t="n"/>
      <c r="C13" s="43" t="n"/>
      <c r="D13" s="43" t="n"/>
      <c r="E13" s="43" t="n"/>
      <c r="F13" s="43" t="n"/>
      <c r="G13" s="43" t="n"/>
      <c r="H13" s="47" t="n"/>
    </row>
    <row r="14" ht="24" customHeight="1">
      <c r="A14" s="43" t="n"/>
      <c r="B14" s="43" t="n"/>
      <c r="C14" s="43" t="n"/>
      <c r="D14" s="43" t="n"/>
      <c r="E14" s="43" t="n"/>
      <c r="F14" s="43" t="n"/>
      <c r="G14" s="43" t="n"/>
      <c r="H14" s="47" t="n"/>
    </row>
    <row r="15" ht="24" customHeight="1">
      <c r="A15" s="43" t="n"/>
      <c r="B15" s="43" t="n"/>
      <c r="C15" s="43" t="n"/>
      <c r="D15" s="43" t="n"/>
      <c r="E15" s="43" t="n"/>
      <c r="F15" s="43" t="n"/>
      <c r="G15" s="43" t="n"/>
      <c r="H15" s="47" t="n"/>
    </row>
    <row r="16" ht="24" customHeight="1">
      <c r="A16" s="43" t="n"/>
      <c r="B16" s="43" t="n"/>
      <c r="C16" s="43" t="n"/>
      <c r="D16" s="43" t="n"/>
      <c r="E16" s="43" t="n"/>
      <c r="F16" s="43" t="n"/>
      <c r="G16" s="43" t="n"/>
      <c r="H16" s="47" t="n"/>
    </row>
    <row r="17" ht="24" customHeight="1">
      <c r="A17" s="43" t="n"/>
      <c r="B17" s="43" t="n"/>
      <c r="C17" s="43" t="n"/>
      <c r="D17" s="43" t="n"/>
      <c r="E17" s="43" t="n"/>
      <c r="F17" s="43" t="n"/>
      <c r="G17" s="43" t="n"/>
      <c r="H17" s="47" t="n"/>
    </row>
    <row r="18" ht="24" customHeight="1">
      <c r="A18" s="43" t="n"/>
      <c r="B18" s="43" t="n"/>
      <c r="C18" s="43" t="n"/>
      <c r="D18" s="43" t="n"/>
      <c r="E18" s="43" t="n"/>
      <c r="F18" s="43" t="n"/>
      <c r="G18" s="43" t="n"/>
      <c r="H18" s="47" t="n"/>
    </row>
    <row r="19" ht="24" customHeight="1">
      <c r="A19" s="43" t="n"/>
      <c r="B19" s="43" t="n"/>
      <c r="C19" s="43" t="n"/>
      <c r="D19" s="43" t="n"/>
      <c r="E19" s="43" t="n"/>
      <c r="F19" s="43" t="n"/>
      <c r="G19" s="43" t="n"/>
      <c r="H19" s="47" t="n"/>
    </row>
    <row r="20" ht="24" customHeight="1">
      <c r="A20" s="43" t="n"/>
      <c r="B20" s="43" t="n"/>
      <c r="C20" s="43" t="n"/>
      <c r="D20" s="43" t="n"/>
      <c r="E20" s="43" t="n"/>
      <c r="F20" s="43" t="n"/>
      <c r="G20" s="43" t="n"/>
      <c r="H20" s="47" t="n"/>
    </row>
    <row r="21" ht="24" customHeight="1">
      <c r="A21" s="43" t="n"/>
      <c r="B21" s="43" t="n"/>
      <c r="C21" s="43" t="n"/>
      <c r="D21" s="43" t="n"/>
      <c r="E21" s="43" t="n"/>
      <c r="F21" s="43" t="n"/>
      <c r="G21" s="43" t="n"/>
      <c r="H21" s="47" t="n"/>
    </row>
    <row r="22" ht="24" customHeight="1">
      <c r="A22" s="43" t="n"/>
      <c r="B22" s="43" t="n"/>
      <c r="C22" s="43" t="n"/>
      <c r="D22" s="43" t="n"/>
      <c r="E22" s="43" t="n"/>
      <c r="F22" s="43" t="n"/>
      <c r="G22" s="43" t="n"/>
      <c r="H22" s="47" t="n"/>
    </row>
    <row r="23" ht="24" customHeight="1">
      <c r="A23" s="43" t="n"/>
      <c r="B23" s="43" t="n"/>
      <c r="C23" s="43" t="n"/>
      <c r="D23" s="43" t="n"/>
      <c r="E23" s="43" t="n"/>
      <c r="F23" s="43" t="n"/>
      <c r="G23" s="43" t="n"/>
      <c r="H23" s="47" t="n"/>
    </row>
    <row r="24" ht="24" customHeight="1">
      <c r="A24" s="43" t="n"/>
      <c r="B24" s="43" t="n"/>
      <c r="C24" s="43" t="n"/>
      <c r="D24" s="43" t="n"/>
      <c r="E24" s="43" t="n"/>
      <c r="F24" s="43" t="n"/>
      <c r="G24" s="43" t="n"/>
      <c r="H24" s="47" t="n"/>
    </row>
    <row r="25" ht="24" customHeight="1">
      <c r="A25" s="43" t="n"/>
      <c r="B25" s="43" t="n"/>
      <c r="C25" s="43" t="n"/>
      <c r="D25" s="43" t="n"/>
      <c r="E25" s="43" t="n"/>
      <c r="F25" s="43" t="n"/>
      <c r="G25" s="43" t="n"/>
      <c r="H25" s="47" t="n"/>
    </row>
    <row r="26" ht="24" customHeight="1">
      <c r="A26" s="43" t="n"/>
      <c r="B26" s="43" t="n"/>
      <c r="C26" s="43" t="n"/>
      <c r="D26" s="43" t="n"/>
      <c r="E26" s="43" t="n"/>
      <c r="F26" s="43" t="n"/>
      <c r="G26" s="43" t="n"/>
      <c r="H26" s="47" t="n"/>
    </row>
    <row r="27" ht="24" customHeight="1">
      <c r="A27" s="43" t="n"/>
      <c r="B27" s="43" t="n"/>
      <c r="C27" s="43" t="n"/>
      <c r="D27" s="43" t="n"/>
      <c r="E27" s="43" t="n"/>
      <c r="F27" s="43" t="n"/>
      <c r="G27" s="43" t="n"/>
      <c r="H27" s="47" t="n"/>
    </row>
    <row r="28" ht="24" customHeight="1">
      <c r="A28" s="43" t="n"/>
      <c r="B28" s="43" t="n"/>
      <c r="C28" s="43" t="n"/>
      <c r="D28" s="43" t="n"/>
      <c r="E28" s="43" t="n"/>
      <c r="F28" s="43" t="n"/>
      <c r="G28" s="43" t="n"/>
      <c r="H28" s="47" t="n"/>
    </row>
    <row r="29" ht="24" customHeight="1">
      <c r="A29" s="43" t="n"/>
      <c r="B29" s="43" t="n"/>
      <c r="C29" s="43" t="n"/>
      <c r="D29" s="43" t="n"/>
      <c r="E29" s="43" t="n"/>
      <c r="F29" s="43" t="n"/>
      <c r="G29" s="43" t="n"/>
      <c r="H29" s="47" t="n"/>
    </row>
    <row r="30" ht="24" customHeight="1">
      <c r="A30" s="43" t="n"/>
      <c r="B30" s="43" t="n"/>
      <c r="C30" s="43" t="n"/>
      <c r="D30" s="43" t="n"/>
      <c r="E30" s="43" t="n"/>
      <c r="F30" s="43" t="n"/>
      <c r="G30" s="43" t="n"/>
      <c r="H30" s="47" t="n"/>
    </row>
    <row r="31" ht="24" customHeight="1">
      <c r="A31" s="43" t="n"/>
      <c r="B31" s="43" t="n"/>
      <c r="C31" s="43" t="n"/>
      <c r="D31" s="43" t="n"/>
      <c r="E31" s="43" t="n"/>
      <c r="F31" s="43" t="n"/>
      <c r="G31" s="43" t="n"/>
      <c r="H31" s="47" t="n"/>
    </row>
    <row r="32" ht="24" customHeight="1">
      <c r="A32" s="43" t="n"/>
      <c r="B32" s="43" t="n"/>
      <c r="C32" s="43" t="n"/>
      <c r="D32" s="43" t="n"/>
      <c r="E32" s="43" t="n"/>
      <c r="F32" s="43" t="n"/>
      <c r="G32" s="43" t="n"/>
      <c r="H32" s="47" t="n"/>
    </row>
    <row r="33" ht="24" customHeight="1">
      <c r="A33" s="43" t="n"/>
      <c r="B33" s="43" t="n"/>
      <c r="C33" s="43" t="n"/>
      <c r="D33" s="43" t="n"/>
      <c r="E33" s="43" t="n"/>
      <c r="F33" s="43" t="n"/>
      <c r="G33" s="43" t="n"/>
      <c r="H33" s="47" t="n"/>
    </row>
    <row r="34" ht="24" customHeight="1">
      <c r="A34" s="43" t="n"/>
      <c r="B34" s="43" t="n"/>
      <c r="C34" s="43" t="n"/>
      <c r="D34" s="43" t="n"/>
      <c r="E34" s="43" t="n"/>
      <c r="F34" s="43" t="n"/>
      <c r="G34" s="43" t="n"/>
      <c r="H34" s="47" t="n"/>
    </row>
    <row r="35" ht="24" customHeight="1">
      <c r="A35" s="43" t="n"/>
      <c r="B35" s="43" t="n"/>
      <c r="C35" s="43" t="n"/>
      <c r="D35" s="43" t="n"/>
      <c r="E35" s="43" t="n"/>
      <c r="F35" s="43" t="n"/>
      <c r="G35" s="43" t="n"/>
      <c r="H35" s="47" t="n"/>
    </row>
    <row r="36" ht="24" customHeight="1">
      <c r="A36" s="43" t="n"/>
      <c r="B36" s="43" t="n"/>
      <c r="C36" s="43" t="n"/>
      <c r="D36" s="43" t="n"/>
      <c r="E36" s="43" t="n"/>
      <c r="F36" s="43" t="n"/>
      <c r="G36" s="43" t="n"/>
      <c r="H36" s="47" t="n"/>
    </row>
    <row r="37" ht="24" customHeight="1">
      <c r="A37" s="43" t="n"/>
      <c r="B37" s="43" t="n"/>
      <c r="C37" s="43" t="n"/>
      <c r="D37" s="43" t="n"/>
      <c r="E37" s="43" t="n"/>
      <c r="F37" s="43" t="n"/>
      <c r="G37" s="43" t="n"/>
      <c r="H37" s="47" t="n"/>
    </row>
    <row r="38" ht="24" customHeight="1">
      <c r="A38" s="43" t="n"/>
      <c r="B38" s="43" t="n"/>
      <c r="C38" s="43" t="n"/>
      <c r="D38" s="43" t="n"/>
      <c r="E38" s="43" t="n"/>
      <c r="F38" s="43" t="n"/>
      <c r="G38" s="43" t="n"/>
      <c r="H38" s="47" t="n"/>
    </row>
    <row r="39" ht="24" customHeight="1">
      <c r="A39" s="43" t="n"/>
      <c r="B39" s="43" t="n"/>
      <c r="C39" s="43" t="n"/>
      <c r="D39" s="43" t="n"/>
      <c r="E39" s="43" t="n"/>
      <c r="F39" s="43" t="n"/>
      <c r="G39" s="43" t="n"/>
      <c r="H39" s="47" t="n"/>
    </row>
    <row r="40" ht="24" customHeight="1">
      <c r="A40" s="43" t="n"/>
      <c r="B40" s="43" t="n"/>
      <c r="C40" s="43" t="n"/>
      <c r="D40" s="43" t="n"/>
      <c r="E40" s="43" t="n"/>
      <c r="F40" s="43" t="n"/>
      <c r="G40" s="43" t="n"/>
      <c r="H40" s="47" t="n"/>
    </row>
    <row r="41" ht="24" customHeight="1">
      <c r="A41" s="43" t="n"/>
      <c r="B41" s="43" t="n"/>
      <c r="C41" s="43" t="n"/>
      <c r="D41" s="43" t="n"/>
      <c r="E41" s="43" t="n"/>
      <c r="F41" s="43" t="n"/>
      <c r="G41" s="43" t="n"/>
      <c r="H41" s="47" t="n"/>
    </row>
    <row r="42" ht="24" customHeight="1">
      <c r="A42" s="43" t="n"/>
      <c r="B42" s="43" t="n"/>
      <c r="C42" s="43" t="n"/>
      <c r="D42" s="43" t="n"/>
      <c r="E42" s="43" t="n"/>
      <c r="F42" s="43" t="n"/>
      <c r="G42" s="43" t="n"/>
      <c r="H42" s="47" t="n"/>
    </row>
    <row r="43" ht="24" customHeight="1">
      <c r="A43" s="43" t="n"/>
      <c r="B43" s="43" t="n"/>
      <c r="C43" s="43" t="n"/>
      <c r="D43" s="43" t="n"/>
      <c r="E43" s="43" t="n"/>
      <c r="F43" s="43" t="n"/>
      <c r="G43" s="43" t="n"/>
      <c r="H43" s="47" t="n"/>
    </row>
    <row r="44" ht="24" customHeight="1">
      <c r="A44" s="43" t="n"/>
      <c r="B44" s="43" t="n"/>
      <c r="C44" s="43" t="n"/>
      <c r="D44" s="43" t="n"/>
      <c r="E44" s="43" t="n"/>
      <c r="F44" s="43" t="n"/>
      <c r="G44" s="43" t="n"/>
      <c r="H44" s="47" t="n"/>
    </row>
    <row r="45" ht="24" customHeight="1">
      <c r="A45" s="43" t="n"/>
      <c r="B45" s="43" t="n"/>
      <c r="C45" s="43" t="n"/>
      <c r="D45" s="43" t="n"/>
      <c r="E45" s="43" t="n"/>
      <c r="F45" s="43" t="n"/>
      <c r="G45" s="43" t="n"/>
      <c r="H45" s="47" t="n"/>
    </row>
    <row r="46" ht="24" customHeight="1">
      <c r="A46" s="43" t="n"/>
      <c r="B46" s="43" t="n"/>
      <c r="C46" s="43" t="n"/>
      <c r="D46" s="43" t="n"/>
      <c r="E46" s="43" t="n"/>
      <c r="F46" s="43" t="n"/>
      <c r="G46" s="43" t="n"/>
      <c r="H46" s="47" t="n"/>
    </row>
    <row r="47" ht="24" customHeight="1">
      <c r="A47" s="43" t="n"/>
      <c r="B47" s="43" t="n"/>
      <c r="C47" s="43" t="n"/>
      <c r="D47" s="43" t="n"/>
      <c r="E47" s="43" t="n"/>
      <c r="F47" s="43" t="n"/>
      <c r="G47" s="43" t="n"/>
      <c r="H47" s="47" t="n"/>
    </row>
    <row r="48" ht="24" customHeight="1">
      <c r="A48" s="43" t="n"/>
      <c r="B48" s="43" t="n"/>
      <c r="C48" s="43" t="n"/>
      <c r="D48" s="43" t="n"/>
      <c r="E48" s="43" t="n"/>
      <c r="F48" s="43" t="n"/>
      <c r="G48" s="43" t="n"/>
      <c r="H48" s="47" t="n"/>
    </row>
    <row r="49" ht="24" customHeight="1">
      <c r="A49" s="43" t="n"/>
      <c r="B49" s="43" t="n"/>
      <c r="C49" s="43" t="n"/>
      <c r="D49" s="43" t="n"/>
      <c r="E49" s="43" t="n"/>
      <c r="F49" s="43" t="n"/>
      <c r="G49" s="43" t="n"/>
      <c r="H49" s="47" t="n"/>
    </row>
    <row r="50" ht="24" customHeight="1">
      <c r="A50" s="43" t="n"/>
      <c r="B50" s="43" t="n"/>
      <c r="C50" s="43" t="n"/>
      <c r="D50" s="43" t="n"/>
      <c r="E50" s="43" t="n"/>
      <c r="F50" s="43" t="n"/>
      <c r="G50" s="43" t="n"/>
      <c r="H50" s="47" t="n"/>
    </row>
    <row r="51" ht="24" customHeight="1">
      <c r="A51" s="43" t="n"/>
      <c r="B51" s="43" t="n"/>
      <c r="C51" s="43" t="n"/>
      <c r="D51" s="43" t="n"/>
      <c r="E51" s="43" t="n"/>
      <c r="F51" s="43" t="n"/>
      <c r="G51" s="43" t="n"/>
      <c r="H51" s="47" t="n"/>
    </row>
    <row r="52" ht="24" customHeight="1">
      <c r="A52" s="43" t="n"/>
      <c r="B52" s="43" t="n"/>
      <c r="C52" s="43" t="n"/>
      <c r="D52" s="43" t="n"/>
      <c r="E52" s="43" t="n"/>
      <c r="F52" s="43" t="n"/>
      <c r="G52" s="43" t="n"/>
      <c r="H52" s="47" t="n"/>
    </row>
    <row r="53" ht="24" customHeight="1">
      <c r="A53" s="43" t="n"/>
      <c r="B53" s="43" t="n"/>
      <c r="C53" s="43" t="n"/>
      <c r="D53" s="43" t="n"/>
      <c r="E53" s="43" t="n"/>
      <c r="F53" s="43" t="n"/>
      <c r="G53" s="43" t="n"/>
      <c r="H53" s="47" t="n"/>
    </row>
    <row r="54" ht="24" customHeight="1">
      <c r="A54" s="43" t="n"/>
      <c r="B54" s="43" t="n"/>
      <c r="C54" s="43" t="n"/>
      <c r="D54" s="43" t="n"/>
      <c r="E54" s="43" t="n"/>
      <c r="F54" s="43" t="n"/>
      <c r="G54" s="43" t="n"/>
      <c r="H54" s="47" t="n"/>
    </row>
    <row r="55" ht="24" customHeight="1">
      <c r="A55" s="43" t="n"/>
      <c r="B55" s="43" t="n"/>
      <c r="C55" s="43" t="n"/>
      <c r="D55" s="43" t="n"/>
      <c r="E55" s="43" t="n"/>
      <c r="F55" s="43" t="n"/>
      <c r="G55" s="43" t="n"/>
      <c r="H55" s="47" t="n"/>
    </row>
    <row r="56" ht="24" customHeight="1">
      <c r="A56" s="43" t="n"/>
      <c r="B56" s="43" t="n"/>
      <c r="C56" s="43" t="n"/>
      <c r="D56" s="43" t="n"/>
      <c r="E56" s="43" t="n"/>
      <c r="F56" s="43" t="n"/>
      <c r="G56" s="43" t="n"/>
      <c r="H56" s="47" t="n"/>
    </row>
    <row r="57" ht="24" customHeight="1">
      <c r="A57" s="43" t="n"/>
      <c r="B57" s="43" t="n"/>
      <c r="C57" s="43" t="n"/>
      <c r="D57" s="43" t="n"/>
      <c r="E57" s="43" t="n"/>
      <c r="F57" s="43" t="n"/>
      <c r="G57" s="43" t="n"/>
      <c r="H57" s="47" t="n"/>
    </row>
    <row r="58" ht="24" customHeight="1">
      <c r="A58" s="43" t="n"/>
      <c r="B58" s="43" t="n"/>
      <c r="C58" s="43" t="n"/>
      <c r="D58" s="43" t="n"/>
      <c r="E58" s="43" t="n"/>
      <c r="F58" s="43" t="n"/>
      <c r="G58" s="43" t="n"/>
      <c r="H58" s="47" t="n"/>
    </row>
    <row r="59" ht="24" customHeight="1">
      <c r="A59" s="43" t="n"/>
      <c r="B59" s="43" t="n"/>
      <c r="C59" s="43" t="n"/>
      <c r="D59" s="43" t="n"/>
      <c r="E59" s="43" t="n"/>
      <c r="F59" s="43" t="n"/>
      <c r="G59" s="43" t="n"/>
      <c r="H59" s="47" t="n"/>
    </row>
    <row r="60" ht="24" customHeight="1">
      <c r="A60" s="43" t="n"/>
      <c r="B60" s="43" t="n"/>
      <c r="C60" s="43" t="n"/>
      <c r="D60" s="43" t="n"/>
      <c r="E60" s="43" t="n"/>
      <c r="F60" s="43" t="n"/>
      <c r="G60" s="43" t="n"/>
      <c r="H60" s="47" t="n"/>
    </row>
    <row r="61" ht="24" customHeight="1">
      <c r="A61" s="43" t="n"/>
      <c r="B61" s="43" t="n"/>
      <c r="C61" s="43" t="n"/>
      <c r="D61" s="43" t="n"/>
      <c r="E61" s="43" t="n"/>
      <c r="F61" s="43" t="n"/>
      <c r="G61" s="43" t="n"/>
      <c r="H61" s="47" t="n"/>
    </row>
    <row r="62" ht="24" customHeight="1">
      <c r="A62" s="43" t="n"/>
      <c r="B62" s="43" t="n"/>
      <c r="C62" s="43" t="n"/>
      <c r="D62" s="43" t="n"/>
      <c r="E62" s="43" t="n"/>
      <c r="F62" s="43" t="n"/>
      <c r="G62" s="43" t="n"/>
      <c r="H62" s="47" t="n"/>
    </row>
    <row r="63" ht="24" customHeight="1">
      <c r="A63" s="43" t="n"/>
      <c r="B63" s="43" t="n"/>
      <c r="C63" s="43" t="n"/>
      <c r="D63" s="43" t="n"/>
      <c r="E63" s="43" t="n"/>
      <c r="F63" s="43" t="n"/>
      <c r="G63" s="43" t="n"/>
      <c r="H63" s="47" t="n"/>
    </row>
    <row r="64" ht="24" customHeight="1">
      <c r="A64" s="43" t="n"/>
      <c r="B64" s="43" t="n"/>
      <c r="C64" s="43" t="n"/>
      <c r="D64" s="43" t="n"/>
      <c r="E64" s="43" t="n"/>
      <c r="F64" s="43" t="n"/>
      <c r="G64" s="43" t="n"/>
      <c r="H64" s="47" t="n"/>
    </row>
  </sheetData>
  <pageMargins left="0.75" right="0.75" top="1" bottom="1" header="0.511811023622047" footer="0.511811023622047"/>
  <pageSetup orientation="landscape" fitToHeight="0" horizontalDpi="300" verticalDpi="300"/>
</worksheet>
</file>

<file path=xl/worksheets/sheet10.xml><?xml version="1.0" encoding="utf-8"?>
<worksheet xmlns="http://schemas.openxmlformats.org/spreadsheetml/2006/main">
  <sheetPr>
    <outlinePr summaryBelow="1" summaryRight="1"/>
    <pageSetUpPr fitToPage="1"/>
  </sheetPr>
  <dimension ref="A1:H14"/>
  <sheetViews>
    <sheetView showGridLines="0" zoomScaleNormal="100" workbookViewId="0">
      <pane xSplit="1" ySplit="4" topLeftCell="B5" activePane="bottomRight" state="frozen"/>
      <selection pane="topRight" activeCell="B1" sqref="B1"/>
      <selection pane="bottomLeft" activeCell="A5" sqref="A5"/>
      <selection pane="bottomRight" activeCell="E9" sqref="E9"/>
    </sheetView>
  </sheetViews>
  <sheetFormatPr baseColWidth="8" defaultColWidth="8.7109375" defaultRowHeight="15"/>
  <cols>
    <col width="14" customWidth="1" min="1" max="1"/>
    <col width="40" customWidth="1" min="2" max="3"/>
    <col width="30" customWidth="1" min="4" max="5"/>
    <col width="16" customWidth="1" min="6" max="6"/>
    <col width="36" customWidth="1" min="7" max="7"/>
    <col width="16" customWidth="1" min="8" max="8"/>
  </cols>
  <sheetData>
    <row r="1" ht="19.5" customHeight="1">
      <c r="A1" s="1" t="inlineStr">
        <is>
          <t>Weekly Progress Log</t>
        </is>
      </c>
    </row>
    <row r="2">
      <c r="A2" s="2" t="inlineStr">
        <is>
          <t>Fill in at the end of each lab week. Adjust the planned work to your own schedule.</t>
        </is>
      </c>
    </row>
    <row r="4" ht="39.75" customHeight="1">
      <c r="A4" s="7" t="inlineStr">
        <is>
          <t>Checkpoint</t>
        </is>
      </c>
      <c r="B4" s="11" t="inlineStr">
        <is>
          <t>Planned for this week</t>
        </is>
      </c>
      <c r="C4" s="11" t="inlineStr">
        <is>
          <t>What we actually did</t>
        </is>
      </c>
      <c r="D4" s="11" t="inlineStr">
        <is>
          <t>Evidence (commit / PR / screenshot link)</t>
        </is>
      </c>
      <c r="E4" s="11" t="inlineStr">
        <is>
          <t>Blockers and help needed</t>
        </is>
      </c>
      <c r="F4" s="11" t="inlineStr">
        <is>
          <t>Status (team)</t>
        </is>
      </c>
      <c r="G4" s="15" t="inlineStr">
        <is>
          <t>Lecturer feedback</t>
        </is>
      </c>
      <c r="H4" s="15" t="inlineStr">
        <is>
          <t>Checkpoint</t>
        </is>
      </c>
    </row>
    <row r="5" ht="60" customHeight="1">
      <c r="A5" s="9" t="inlineStr">
        <is>
          <t>Week 1</t>
        </is>
      </c>
      <c r="B5" s="43" t="inlineStr">
        <is>
          <t>Read the assignment, form the team, set up GitHub, start Clarification Q&amp;A</t>
        </is>
      </c>
      <c r="C5" s="43" t="inlineStr">
        <is>
          <t>Formed team, setup GitHub repository, completed Clarification Q&amp;A (Q01-Q03).</t>
        </is>
      </c>
      <c r="D5" s="43" t="inlineStr">
        <is>
          <t>Commit f86f2bc</t>
        </is>
      </c>
      <c r="E5" s="43" t="inlineStr">
        <is>
          <t>None. Project setup and GitHub integration went smoothly.</t>
        </is>
      </c>
      <c r="F5" s="43" t="inlineStr">
        <is>
          <t>Done</t>
        </is>
      </c>
      <c r="G5" s="47" t="n"/>
      <c r="H5" s="21" t="n"/>
    </row>
    <row r="6" ht="60" customHeight="1">
      <c r="A6" s="9" t="inlineStr">
        <is>
          <t>Week 2</t>
        </is>
      </c>
      <c r="B6" s="43" t="inlineStr">
        <is>
          <t>Requirements specification (FR, NFR with metrics, domain)</t>
        </is>
      </c>
      <c r="C6" s="43" t="inlineStr">
        <is>
          <t>Completed FR1-FR7, NFR1-NFR4, DR1-DR2, and UC01 detailed specification.</t>
        </is>
      </c>
      <c r="D6" s="43" t="inlineStr">
        <is>
          <t>Commit 4f39f48</t>
        </is>
      </c>
      <c r="E6" s="43" t="inlineStr">
        <is>
          <t>Resolved Git rebase conflicts and cleaned temporary Office lock files (~$*) from repository.</t>
        </is>
      </c>
      <c r="F6" s="43" t="inlineStr">
        <is>
          <t>Done</t>
        </is>
      </c>
      <c r="G6" s="47" t="n"/>
      <c r="H6" s="21" t="n"/>
    </row>
    <row r="7" ht="60" customHeight="1">
      <c r="A7" s="9" t="inlineStr">
        <is>
          <t>Week 3</t>
        </is>
      </c>
      <c r="B7" s="43" t="inlineStr">
        <is>
          <t>Use case model and activity diagrams</t>
        </is>
      </c>
      <c r="C7" s="43" t="inlineStr">
        <is>
          <t>Completed Use Case descriptions and 2 Activity Diagrams (ticket flow and payment gateway).</t>
        </is>
      </c>
      <c r="D7" s="43" t="inlineStr">
        <is>
          <t>Commit d4120bb</t>
        </is>
      </c>
      <c r="E7" s="43" t="inlineStr">
        <is>
          <t>None.</t>
        </is>
      </c>
      <c r="F7" s="43" t="inlineStr">
        <is>
          <t>Done</t>
        </is>
      </c>
      <c r="G7" s="47" t="n"/>
      <c r="H7" s="21" t="n"/>
    </row>
    <row r="8" ht="60" customHeight="1">
      <c r="A8" s="9" t="inlineStr">
        <is>
          <t>Week 4</t>
        </is>
      </c>
      <c r="B8" s="43" t="inlineStr">
        <is>
          <t>Sequence, state chart, class diagram; wireframes; architecture</t>
        </is>
      </c>
      <c r="C8" s="43" t="inlineStr">
        <is>
          <t>Completed Sequence, State Chart, Class Diagram, 11 Figma UI screens, Architecture and Deployment diagrams.</t>
        </is>
      </c>
      <c r="D8" s="43" t="inlineStr">
        <is>
          <t>Commit 8f68ace</t>
        </is>
      </c>
      <c r="E8" s="43" t="inlineStr">
        <is>
          <t>None.</t>
        </is>
      </c>
      <c r="F8" s="43" t="inlineStr">
        <is>
          <t>Done</t>
        </is>
      </c>
      <c r="G8" s="47" t="n"/>
      <c r="H8" s="21" t="n"/>
    </row>
    <row r="9" ht="60" customHeight="1">
      <c r="A9" s="9" t="inlineStr">
        <is>
          <t>Week 5</t>
        </is>
      </c>
      <c r="B9" s="43" t="inlineStr">
        <is>
          <t>Forward and backward engineering, Code Map; demo application</t>
        </is>
      </c>
      <c r="C9" s="43" t="inlineStr">
        <is>
          <t>Built SmartTicketingSystem_TVM.sln (Core, Data, UI), Database/Script.sql, VS Code Map, verified 5 test scenarios.</t>
        </is>
      </c>
      <c r="D9" s="43" t="inlineStr">
        <is>
          <t>Commit &amp; PR feature/demo-application-member3</t>
        </is>
      </c>
      <c r="E9" s="43" t="inlineStr">
        <is>
          <t>None. System compiled with 0 warnings.</t>
        </is>
      </c>
      <c r="F9" s="43" t="inlineStr">
        <is>
          <t>Done</t>
        </is>
      </c>
      <c r="G9" s="47" t="n"/>
      <c r="H9" s="21" t="n"/>
    </row>
    <row r="10" ht="60" customHeight="1">
      <c r="A10" s="9" t="inlineStr">
        <is>
          <t>Week 6</t>
        </is>
      </c>
      <c r="B10" s="43" t="inlineStr">
        <is>
          <t>Finish demo, report, readme.txt, self-marking</t>
        </is>
      </c>
      <c r="C10" s="43" t="inlineStr">
        <is>
          <t>Integrated report docx, updated workbook, finalized readme.txt and git history.</t>
        </is>
      </c>
      <c r="D10" s="43" t="inlineStr">
        <is>
          <t>Final release tag v1.0</t>
        </is>
      </c>
      <c r="E10" s="43" t="inlineStr">
        <is>
          <t>None.</t>
        </is>
      </c>
      <c r="F10" s="43" t="inlineStr">
        <is>
          <t>Done</t>
        </is>
      </c>
      <c r="G10" s="47" t="n"/>
      <c r="H10" s="21" t="n"/>
    </row>
    <row r="12" ht="25.5" customHeight="1">
      <c r="A12" s="9" t="inlineStr">
        <is>
          <t>Checkpoints met</t>
        </is>
      </c>
      <c r="B12" s="45">
        <f>COUNTIF(H5:H10,"Met")&amp;" of 6"</f>
        <v/>
      </c>
    </row>
    <row r="14">
      <c r="A14" s="14" t="inlineStr">
        <is>
          <t>Update this sheet at the end of every lab week. A short, honest record earns the process mark; a blank log does not.</t>
        </is>
      </c>
    </row>
  </sheetData>
  <dataValidations count="2">
    <dataValidation sqref="F7:F10" showDropDown="0" showInputMessage="0" showErrorMessage="0" allowBlank="1" type="list">
      <formula1>"On track,Behind,Done"</formula1>
      <formula2>0</formula2>
    </dataValidation>
    <dataValidation sqref="H5:H10" showDropDown="0" showInputMessage="0" showErrorMessage="0" allowBlank="1" type="list">
      <formula1>"Met,Partly met,Not met"</formula1>
      <formula2>0</formula2>
    </dataValidation>
  </dataValidations>
  <pageMargins left="0.75" right="0.75" top="1" bottom="1" header="0.511811023622047" footer="0.511811023622047"/>
  <pageSetup orientation="landscape" fitToHeight="0" horizontalDpi="300" verticalDpi="300"/>
</worksheet>
</file>

<file path=xl/worksheets/sheet11.xml><?xml version="1.0" encoding="utf-8"?>
<worksheet xmlns="http://schemas.openxmlformats.org/spreadsheetml/2006/main">
  <sheetPr>
    <outlinePr summaryBelow="1" summaryRight="1"/>
    <pageSetUpPr fitToPage="1"/>
  </sheetPr>
  <dimension ref="A1:I17"/>
  <sheetViews>
    <sheetView showGridLines="0"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7109375" defaultRowHeight="15"/>
  <cols>
    <col width="8" customWidth="1" min="1" max="1"/>
    <col width="34" customWidth="1" min="2" max="2"/>
    <col width="9" customWidth="1" min="3" max="3"/>
    <col width="58" customWidth="1" min="4" max="4"/>
    <col width="13" customWidth="1" min="5" max="6"/>
    <col width="12" customWidth="1" min="7" max="7"/>
    <col width="40" customWidth="1" min="8" max="9"/>
  </cols>
  <sheetData>
    <row r="1" ht="19.5" customHeight="1">
      <c r="A1" s="1" t="inlineStr">
        <is>
          <t>Marking: Self and Lecturer</t>
        </is>
      </c>
    </row>
    <row r="2">
      <c r="A2" s="2" t="inlineStr">
        <is>
          <t>Enter marks out of each task's Max. Yellow = student self-mark, green = lecturer mark.</t>
        </is>
      </c>
    </row>
    <row r="4" ht="36" customHeight="1">
      <c r="A4" s="7" t="inlineStr">
        <is>
          <t>No.</t>
        </is>
      </c>
      <c r="B4" s="7" t="inlineStr">
        <is>
          <t>Task</t>
        </is>
      </c>
      <c r="C4" s="7" t="inlineStr">
        <is>
          <t>Max (marks)</t>
        </is>
      </c>
      <c r="D4" s="7" t="inlineStr">
        <is>
          <t>What to check for full marks</t>
        </is>
      </c>
      <c r="E4" s="11" t="inlineStr">
        <is>
          <t>Student self-mark</t>
        </is>
      </c>
      <c r="F4" s="15" t="inlineStr">
        <is>
          <t>Lecturer mark</t>
        </is>
      </c>
      <c r="G4" s="7" t="inlineStr">
        <is>
          <t>Difference (self − lecturer)</t>
        </is>
      </c>
      <c r="H4" s="11" t="inlineStr">
        <is>
          <t>Student justification / evidence</t>
        </is>
      </c>
      <c r="I4" s="15" t="inlineStr">
        <is>
          <t>Lecturer comments</t>
        </is>
      </c>
    </row>
    <row r="5" ht="57.75" customHeight="1">
      <c r="A5" s="18" t="inlineStr">
        <is>
          <t>1</t>
        </is>
      </c>
      <c r="B5" s="8" t="inlineStr">
        <is>
          <t>Clarification Q&amp;A (Excel)</t>
        </is>
      </c>
      <c r="C5" s="45" t="n">
        <v>5</v>
      </c>
      <c r="D5" s="46" t="inlineStr">
        <is>
          <t>Thorough questions uncovering hidden complexity, each with a logical assumed answer and a requirement link.</t>
        </is>
      </c>
      <c r="E5" s="23" t="n">
        <v>5</v>
      </c>
      <c r="F5" s="24" t="n"/>
      <c r="G5" s="25">
        <f>IF(AND(ISNUMBER(E5),ISNUMBER(F5)),E5-F5,"")</f>
        <v/>
      </c>
      <c r="H5" s="43" t="inlineStr">
        <is>
          <t>Thorough questions uncovering ambiguities in payment timeouts and paper jams with clear assumed answers.</t>
        </is>
      </c>
      <c r="I5" s="47" t="n"/>
    </row>
    <row r="6" ht="57.75" customHeight="1">
      <c r="A6" s="18" t="inlineStr">
        <is>
          <t>2</t>
        </is>
      </c>
      <c r="B6" s="8" t="inlineStr">
        <is>
          <t>Requirements Specification</t>
        </is>
      </c>
      <c r="C6" s="45" t="n">
        <v>15</v>
      </c>
      <c r="D6" s="46" t="inlineStr">
        <is>
          <t>Functional, non-functional and domain requirements with IDs. Strict, measurable reliability and response-time limits.</t>
        </is>
      </c>
      <c r="E6" s="23" t="n">
        <v>15</v>
      </c>
      <c r="F6" s="24" t="n"/>
      <c r="G6" s="25">
        <f>IF(AND(ISNUMBER(E6),ISNUMBER(F6)),E6-F6,"")</f>
        <v/>
      </c>
      <c r="H6" s="43" t="inlineStr">
        <is>
          <t>Full FR1-FR7, NFR1-NFR4 with strict measurable response time (&lt;1.0s, &lt;2.0s) and 99.9% uptime metrics, DR1-DR2.</t>
        </is>
      </c>
      <c r="I6" s="47" t="n"/>
    </row>
    <row r="7" ht="57.75" customHeight="1">
      <c r="A7" s="18" t="inlineStr">
        <is>
          <t>3</t>
        </is>
      </c>
      <c r="B7" s="8" t="inlineStr">
        <is>
          <t>Use Case Modeling</t>
        </is>
      </c>
      <c r="C7" s="45" t="n">
        <v>10</v>
      </c>
      <c r="D7" s="46" t="inlineStr">
        <is>
          <t>Correct use case diagram and a detailed description for every use case.</t>
        </is>
      </c>
      <c r="E7" s="23" t="n">
        <v>10</v>
      </c>
      <c r="F7" s="24" t="n"/>
      <c r="G7" s="25">
        <f>IF(AND(ISNUMBER(E7),ISNUMBER(F7)),E7-F7,"")</f>
        <v/>
      </c>
      <c r="H7" s="43" t="inlineStr">
        <is>
          <t>Complete Use Case diagram with detailed 10-step main flow, alternate and exception flows for UC01.</t>
        </is>
      </c>
      <c r="I7" s="47" t="n"/>
    </row>
    <row r="8" ht="57.75" customHeight="1">
      <c r="A8" s="18" t="inlineStr">
        <is>
          <t>4</t>
        </is>
      </c>
      <c r="B8" s="8" t="inlineStr">
        <is>
          <t>Activity Diagrams</t>
        </is>
      </c>
      <c r="C8" s="45" t="n">
        <v>10</v>
      </c>
      <c r="D8" s="46" t="inlineStr">
        <is>
          <t>Buy-a-ticket flow with failures, and a separate payment gateway integration diagram.</t>
        </is>
      </c>
      <c r="E8" s="23" t="n">
        <v>10</v>
      </c>
      <c r="F8" s="24" t="n"/>
      <c r="G8" s="25">
        <f>IF(AND(ISNUMBER(E8),ISNUMBER(F8)),E8-F8,"")</f>
        <v/>
      </c>
      <c r="H8" s="43" t="inlineStr">
        <is>
          <t>Detailed buy-ticket activity flow with decisions and separate payment gateway integration diagram.</t>
        </is>
      </c>
      <c r="I8" s="47" t="n"/>
    </row>
    <row r="9" ht="57.75" customHeight="1">
      <c r="A9" s="18" t="inlineStr">
        <is>
          <t>5</t>
        </is>
      </c>
      <c r="B9" s="8" t="inlineStr">
        <is>
          <t>Detailed System Modeling: Buy a Ticket</t>
        </is>
      </c>
      <c r="C9" s="45" t="n">
        <v>15</v>
      </c>
      <c r="D9" s="46" t="inlineStr">
        <is>
          <t>Sequence, state chart and class diagram: correct, logical and aligned with each other.</t>
        </is>
      </c>
      <c r="E9" s="23" t="n">
        <v>15</v>
      </c>
      <c r="F9" s="24" t="n"/>
      <c r="G9" s="25">
        <f>IF(AND(ISNUMBER(E9),ISNUMBER(F9)),E9-F9,"")</f>
        <v/>
      </c>
      <c r="H9" s="43" t="inlineStr">
        <is>
          <t>Sequence, State Chart, and Class Diagrams fully aligned and matching C# implementation.</t>
        </is>
      </c>
      <c r="I9" s="47" t="n"/>
    </row>
    <row r="10" ht="57.75" customHeight="1">
      <c r="A10" s="18" t="inlineStr">
        <is>
          <t>6</t>
        </is>
      </c>
      <c r="B10" s="8" t="inlineStr">
        <is>
          <t>UI/UX Design</t>
        </is>
      </c>
      <c r="C10" s="45" t="n">
        <v>5</v>
      </c>
      <c r="D10" s="46" t="inlineStr">
        <is>
          <t>Modern, intuitive wireframes or mockups for the TVM screens.</t>
        </is>
      </c>
      <c r="E10" s="23" t="n">
        <v>5</v>
      </c>
      <c r="F10" s="24" t="n"/>
      <c r="G10" s="25">
        <f>IF(AND(ISNUMBER(E10),ISNUMBER(F10)),E10-F10,"")</f>
        <v/>
      </c>
      <c r="H10" s="43" t="inlineStr">
        <is>
          <t>Modern 11-screen MetroLink touchscreen kiosk mockup in Figma with responsive flow.</t>
        </is>
      </c>
      <c r="I10" s="47" t="n"/>
    </row>
    <row r="11" ht="57.75" customHeight="1">
      <c r="A11" s="18" t="inlineStr">
        <is>
          <t>7</t>
        </is>
      </c>
      <c r="B11" s="8" t="inlineStr">
        <is>
          <t>Architectural Design</t>
        </is>
      </c>
      <c r="C11" s="45" t="n">
        <v>10</v>
      </c>
      <c r="D11" s="46" t="inlineStr">
        <is>
          <t>Logical, modular architecture (MVC or system-in-a-box) suited to the hardware; deployment diagram with API context.</t>
        </is>
      </c>
      <c r="E11" s="23" t="n">
        <v>10</v>
      </c>
      <c r="F11" s="24" t="n"/>
      <c r="G11" s="25">
        <f>IF(AND(ISNUMBER(E11),ISNUMBER(F11)),E11-F11,"")</f>
        <v/>
      </c>
      <c r="H11" s="43" t="inlineStr">
        <is>
          <t>Modular MVC/3-tier architecture and deployment diagram showing hardware, servers, and TLS APIs.</t>
        </is>
      </c>
      <c r="I11" s="47" t="n"/>
    </row>
    <row r="12" ht="57.75" customHeight="1">
      <c r="A12" s="18" t="inlineStr">
        <is>
          <t>8</t>
        </is>
      </c>
      <c r="B12" s="8" t="inlineStr">
        <is>
          <t>Visual Studio Engineering</t>
        </is>
      </c>
      <c r="C12" s="45" t="n">
        <v>10</v>
      </c>
      <c r="D12" s="46" t="inlineStr">
        <is>
          <t>Forward engineering, backward engineering and a Code Map, all shown and explained.</t>
        </is>
      </c>
      <c r="E12" s="23" t="n">
        <v>10</v>
      </c>
      <c r="F12" s="24" t="n"/>
      <c r="G12" s="25">
        <f>IF(AND(ISNUMBER(E12),ISNUMBER(F12)),E12-F12,"")</f>
        <v/>
      </c>
      <c r="H12" s="43" t="inlineStr">
        <is>
          <t>Demonstrated Forward &amp; Backward engineering and generated Visual Studio Code Map component graph.</t>
        </is>
      </c>
      <c r="I12" s="47" t="n"/>
    </row>
    <row r="13" ht="57.75" customHeight="1">
      <c r="A13" s="18" t="inlineStr">
        <is>
          <t>9</t>
        </is>
      </c>
      <c r="B13" s="8" t="inlineStr">
        <is>
          <t>GitHub &amp; AI Tooling (Copilot)</t>
        </is>
      </c>
      <c r="C13" s="45" t="n">
        <v>10</v>
      </c>
      <c r="D13" s="46" t="inlineStr">
        <is>
          <t>Rich commit history from all members; Copilot prompts documented with validation of the output.</t>
        </is>
      </c>
      <c r="E13" s="23" t="n">
        <v>10</v>
      </c>
      <c r="F13" s="24" t="n"/>
      <c r="G13" s="25">
        <f>IF(AND(ISNUMBER(E13),ISNUMBER(F13)),E13-F13,"")</f>
        <v/>
      </c>
      <c r="H13" s="43" t="inlineStr">
        <is>
          <t>Multi-branch git history with commits/PRs across all 3 members, detailed AI prompt log, and reflection.</t>
        </is>
      </c>
      <c r="I13" s="47" t="n"/>
    </row>
    <row r="14" ht="57.75" customHeight="1">
      <c r="A14" s="18" t="inlineStr">
        <is>
          <t>10</t>
        </is>
      </c>
      <c r="B14" s="8" t="inlineStr">
        <is>
          <t>Demo Application (C# and MSSQL)</t>
        </is>
      </c>
      <c r="C14" s="45" t="n">
        <v>10</v>
      </c>
      <c r="D14" s="46" t="inlineStr">
        <is>
          <t>Runs smoothly: input form and output report or success screen for the ticket buying flow.</t>
        </is>
      </c>
      <c r="E14" s="23" t="n">
        <v>10</v>
      </c>
      <c r="F14" s="24" t="n"/>
      <c r="G14" s="25">
        <f>IF(AND(ISNUMBER(E14),ISNUMBER(F14)),E14-F14,"")</f>
        <v/>
      </c>
      <c r="H14" s="43" t="inlineStr">
        <is>
          <t>Full functional C# WinForms solution (.sln) &amp; MSSQL Script.sql simulating Happy Path and all exception cases smoothly.</t>
        </is>
      </c>
      <c r="I14" s="47" t="n"/>
    </row>
    <row r="15">
      <c r="A15" s="26" t="n"/>
      <c r="B15" s="9" t="inlineStr">
        <is>
          <t>Total (/100)</t>
        </is>
      </c>
      <c r="C15" s="16">
        <f>SUM(C5:C14)</f>
        <v/>
      </c>
      <c r="D15" s="26" t="n"/>
      <c r="E15" s="27">
        <f>SUM(E5:E14)</f>
        <v/>
      </c>
      <c r="F15" s="27">
        <f>SUM(F5:F14)</f>
        <v/>
      </c>
      <c r="G15" s="28">
        <f>E15-F15</f>
        <v/>
      </c>
      <c r="H15" s="26" t="n"/>
      <c r="I15" s="26" t="n"/>
    </row>
    <row r="17">
      <c r="A17" s="14" t="inlineStr">
        <is>
          <t>A red difference means self-mark and lecturer mark differ by more than 20% of the task's Max: discuss it in the feedback session.</t>
        </is>
      </c>
    </row>
  </sheetData>
  <conditionalFormatting sqref="G5:G14">
    <cfRule type="expression" priority="2" dxfId="0">
      <formula>AND(ISNUMBER(G5),ABS(G5)&gt;0.2*$C5)</formula>
    </cfRule>
  </conditionalFormatting>
  <dataValidations count="1">
    <dataValidation sqref="E5:F14" showDropDown="0" showInputMessage="0" showErrorMessage="1" allowBlank="1" errorTitle="Mark out of range" error="Enter a number from 0 up to the task's Max (column C)." type="decimal">
      <formula1>0</formula1>
      <formula2>$C5</formula2>
    </dataValidation>
  </dataValidations>
  <pageMargins left="0.75" right="0.75" top="1" bottom="1" header="0.511811023622047" footer="0.511811023622047"/>
  <pageSetup orientation="landscape" fitToHeight="0" horizontalDpi="300" verticalDpi="300"/>
</worksheet>
</file>

<file path=xl/worksheets/sheet12.xml><?xml version="1.0" encoding="utf-8"?>
<worksheet xmlns="http://schemas.openxmlformats.org/spreadsheetml/2006/main">
  <sheetPr>
    <outlinePr summaryBelow="1" summaryRight="1"/>
    <pageSetUpPr fitToPage="1"/>
  </sheetPr>
  <dimension ref="A1:G26"/>
  <sheetViews>
    <sheetView showGridLines="0" zoomScaleNormal="100" workbookViewId="0">
      <selection activeCell="A1" sqref="A1"/>
    </sheetView>
  </sheetViews>
  <sheetFormatPr baseColWidth="8" defaultColWidth="8.7109375" defaultRowHeight="15"/>
  <cols>
    <col width="28" customWidth="1" min="1" max="1"/>
    <col width="26" customWidth="1" min="2" max="2"/>
    <col width="16" customWidth="1" min="3" max="3"/>
    <col width="18" customWidth="1" min="4" max="4"/>
    <col width="22" customWidth="1" min="5" max="7"/>
  </cols>
  <sheetData>
    <row r="1" ht="19.5" customHeight="1">
      <c r="A1" s="1" t="inlineStr">
        <is>
          <t>Group Summary and Results</t>
        </is>
      </c>
    </row>
    <row r="2">
      <c r="A2" s="2" t="inlineStr">
        <is>
          <t>Results are calculated from the Marking sheet.</t>
        </is>
      </c>
    </row>
    <row r="4">
      <c r="A4" s="9" t="inlineStr">
        <is>
          <t>Group name</t>
        </is>
      </c>
      <c r="B4" s="46">
        <f>IF(Team!B4="","",Team!B4)</f>
        <v/>
      </c>
      <c r="C4" s="49" t="n"/>
    </row>
    <row r="5" ht="25.5" customHeight="1">
      <c r="A5" s="9" t="inlineStr">
        <is>
          <t>Weight of this assignment in QT2</t>
        </is>
      </c>
      <c r="B5" s="29" t="n">
        <v>0.2</v>
      </c>
    </row>
    <row r="6">
      <c r="A6" s="9" t="inlineStr">
        <is>
          <t>Marked by / date</t>
        </is>
      </c>
      <c r="B6" s="47" t="n"/>
      <c r="C6" s="47" t="n"/>
    </row>
    <row r="8" ht="15.75" customHeight="1">
      <c r="A8" s="3" t="inlineStr">
        <is>
          <t>Group results</t>
        </is>
      </c>
    </row>
    <row r="9">
      <c r="A9" s="7" t="inlineStr">
        <is>
          <t>Measure</t>
        </is>
      </c>
      <c r="B9" s="11" t="inlineStr">
        <is>
          <t>Student self-marking</t>
        </is>
      </c>
      <c r="C9" s="15" t="inlineStr">
        <is>
          <t>Lecturer</t>
        </is>
      </c>
      <c r="D9" s="7" t="inlineStr">
        <is>
          <t>Difference</t>
        </is>
      </c>
    </row>
    <row r="10">
      <c r="A10" s="8" t="inlineStr">
        <is>
          <t>Total (/100)</t>
        </is>
      </c>
      <c r="B10" s="30">
        <f>Marking!E15</f>
        <v/>
      </c>
      <c r="C10" s="30">
        <f>Marking!F15</f>
        <v/>
      </c>
      <c r="D10" s="25">
        <f>B10-C10</f>
        <v/>
      </c>
    </row>
    <row r="11">
      <c r="A11" s="8" t="inlineStr">
        <is>
          <t>Contribution to QT2 (points)</t>
        </is>
      </c>
      <c r="B11" s="30">
        <f>B10*$B$5</f>
        <v/>
      </c>
      <c r="C11" s="30">
        <f>C10*$B$5</f>
        <v/>
      </c>
      <c r="D11" s="25">
        <f>B11-C11</f>
        <v/>
      </c>
    </row>
    <row r="12" ht="31.5" customHeight="1">
      <c r="A12" s="8" t="inlineStr">
        <is>
          <t>Bonus point toward the Final Project (lecturer, 0 or 1)</t>
        </is>
      </c>
      <c r="B12" s="45" t="n"/>
      <c r="C12" s="21" t="n"/>
    </row>
    <row r="14" ht="15.75" customHeight="1">
      <c r="A14" s="3" t="inlineStr">
        <is>
          <t>Individual marks</t>
        </is>
      </c>
    </row>
    <row r="15" ht="51.75" customHeight="1">
      <c r="A15" s="7" t="inlineStr">
        <is>
          <t>Member</t>
        </is>
      </c>
      <c r="B15" s="7" t="inlineStr">
        <is>
          <t>Student ID</t>
        </is>
      </c>
      <c r="C15" s="7" t="inlineStr">
        <is>
          <t>% contribution</t>
        </is>
      </c>
      <c r="D15" s="15" t="inlineStr">
        <is>
          <t>Lecturer adjustment factor (0.70-1.00, blank = 1)</t>
        </is>
      </c>
      <c r="E15" s="7" t="inlineStr">
        <is>
          <t>Individual mark (/100)</t>
        </is>
      </c>
      <c r="F15" s="7" t="inlineStr">
        <is>
          <t>Individual QT2 points</t>
        </is>
      </c>
    </row>
    <row r="16">
      <c r="A16" s="9">
        <f>IF(Team!B11="","",Team!B11)</f>
        <v/>
      </c>
      <c r="B16" s="45">
        <f>IF(Team!C11="","",Team!C11)</f>
        <v/>
      </c>
      <c r="C16" s="19">
        <f>IF(Team!C11="","",Team!E11)</f>
        <v/>
      </c>
      <c r="D16" s="31" t="n"/>
      <c r="E16" s="32">
        <f>IF($B16="","",ROUND($C$10*IF($D16="",1,$D16),2))</f>
        <v/>
      </c>
      <c r="F16" s="33">
        <f>IF($B16="","",ROUND(E16*$B$5,2))</f>
        <v/>
      </c>
    </row>
    <row r="17">
      <c r="A17" s="9">
        <f>IF(Team!B12="","",Team!B12)</f>
        <v/>
      </c>
      <c r="B17" s="45">
        <f>IF(Team!C12="","",Team!C12)</f>
        <v/>
      </c>
      <c r="C17" s="19">
        <f>IF(Team!C12="","",Team!E12)</f>
        <v/>
      </c>
      <c r="D17" s="31" t="n"/>
      <c r="E17" s="32">
        <f>IF($B17="","",ROUND($C$10*IF($D17="",1,$D17),2))</f>
        <v/>
      </c>
      <c r="F17" s="33">
        <f>IF($B17="","",ROUND(E17*$B$5,2))</f>
        <v/>
      </c>
    </row>
    <row r="18">
      <c r="A18" s="9">
        <f>IF(Team!B13="","",Team!B13)</f>
        <v/>
      </c>
      <c r="B18" s="45">
        <f>IF(Team!C13="","",Team!C13)</f>
        <v/>
      </c>
      <c r="C18" s="19">
        <f>IF(Team!C13="","",Team!E13)</f>
        <v/>
      </c>
      <c r="D18" s="31" t="n"/>
      <c r="E18" s="32">
        <f>IF($B18="","",ROUND($C$10*IF($D18="",1,$D18),2))</f>
        <v/>
      </c>
      <c r="F18" s="33">
        <f>IF($B18="","",ROUND(E18*$B$5,2))</f>
        <v/>
      </c>
    </row>
    <row r="19">
      <c r="A19" s="9">
        <f>IF(Team!B14="","",Team!B14)</f>
        <v/>
      </c>
      <c r="B19" s="45">
        <f>IF(Team!C14="","",Team!C14)</f>
        <v/>
      </c>
      <c r="C19" s="19">
        <f>IF(Team!C14="","",Team!E14)</f>
        <v/>
      </c>
      <c r="D19" s="31" t="n"/>
      <c r="E19" s="32">
        <f>IF($B19="","",ROUND($C$10*IF($D19="",1,$D19),2))</f>
        <v/>
      </c>
      <c r="F19" s="33">
        <f>IF($B19="","",ROUND(E19*$B$5,2))</f>
        <v/>
      </c>
    </row>
    <row r="20">
      <c r="A20" s="9">
        <f>IF(Team!B15="","",Team!B15)</f>
        <v/>
      </c>
      <c r="B20" s="45">
        <f>IF(Team!C15="","",Team!C15)</f>
        <v/>
      </c>
      <c r="C20" s="19">
        <f>IF(Team!C15="","",Team!E15)</f>
        <v/>
      </c>
      <c r="D20" s="31" t="n"/>
      <c r="E20" s="32">
        <f>IF($B20="","",ROUND($C$10*IF($D20="",1,$D20),2))</f>
        <v/>
      </c>
      <c r="F20" s="33">
        <f>IF($B20="","",ROUND(E20*$B$5,2))</f>
        <v/>
      </c>
    </row>
    <row r="22">
      <c r="A22" s="14" t="inlineStr">
        <is>
          <t>The factor is reduced below 1.00 only when the evidence (Git history, pull requests, progress log, individual questions) shows a clearly smaller contribution.</t>
        </is>
      </c>
    </row>
    <row r="24" ht="15.75" customHeight="1">
      <c r="A24" s="3" t="inlineStr">
        <is>
          <t>Comments</t>
        </is>
      </c>
    </row>
    <row r="25" ht="60" customHeight="1">
      <c r="A25" s="9" t="inlineStr">
        <is>
          <t>Student reflection (optional)</t>
        </is>
      </c>
      <c r="B25" s="43" t="n"/>
      <c r="C25" s="50" t="n"/>
      <c r="D25" s="50" t="n"/>
      <c r="E25" s="50" t="n"/>
      <c r="F25" s="50" t="n"/>
      <c r="G25" s="49" t="n"/>
    </row>
    <row r="26" ht="60" customHeight="1">
      <c r="A26" s="9" t="inlineStr">
        <is>
          <t>Lecturer feedback</t>
        </is>
      </c>
      <c r="B26" s="47" t="n"/>
      <c r="C26" s="50" t="n"/>
      <c r="D26" s="50" t="n"/>
      <c r="E26" s="50" t="n"/>
      <c r="F26" s="50" t="n"/>
      <c r="G26" s="49" t="n"/>
    </row>
  </sheetData>
  <mergeCells count="3">
    <mergeCell ref="B4:C4"/>
    <mergeCell ref="B25:G25"/>
    <mergeCell ref="B26:G26"/>
  </mergeCells>
  <dataValidations count="2">
    <dataValidation sqref="C12" showDropDown="0" showInputMessage="0" showErrorMessage="1" allowBlank="1" error="Enter 0 or 1." type="whole">
      <formula1>0</formula1>
      <formula2>1</formula2>
    </dataValidation>
    <dataValidation sqref="D16:D20" showDropDown="0" showInputMessage="0" showErrorMessage="1" allowBlank="1" error="Factor must be between 0.70 and 1.00." type="decimal">
      <formula1>0.7</formula1>
      <formula2>1</formula2>
    </dataValidation>
  </dataValidations>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Ky-Trung Pham</dc:creator>
  <dc:language xmlns:dc="http://purl.org/dc/elements/1.1/">en-US</dc:language>
  <dcterms:created xmlns:dcterms="http://purl.org/dc/terms/" xmlns:xsi="http://www.w3.org/2001/XMLSchema-instance" xsi:type="dcterms:W3CDTF">2026-10-20T16:27:08Z</dcterms:created>
  <dcterms:modified xmlns:dcterms="http://purl.org/dc/terms/" xmlns:xsi="http://www.w3.org/2001/XMLSchema-instance" xsi:type="dcterms:W3CDTF">2026-10-30T05:58:49Z</dcterms:modified>
  <cp:lastModifiedBy>Administrator</cp:lastModifiedBy>
  <cp:revision>0</cp:revision>
</cp:coreProperties>
</file>